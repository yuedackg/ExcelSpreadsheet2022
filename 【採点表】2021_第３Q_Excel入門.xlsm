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lady\Desktop\ExcelSpreadsheet2022\"/>
    </mc:Choice>
  </mc:AlternateContent>
  <xr:revisionPtr revIDLastSave="0" documentId="13_ncr:1_{714BEC6B-55F1-48D8-9635-F0858AEF4FF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heet1" sheetId="1" r:id="rId1"/>
    <sheet name="Sheet2" sheetId="3" r:id="rId2"/>
    <sheet name="Sheet2022" sheetId="2" r:id="rId3"/>
    <sheet name="Sheet3" sheetId="4" state="hidden" r:id="rId4"/>
    <sheet name="完成見本" sheetId="5" r:id="rId5"/>
    <sheet name="問題" sheetId="6" r:id="rId6"/>
  </sheets>
  <definedNames>
    <definedName name="_xlnm.Print_Area" localSheetId="4">完成見本!$A$1:$S$139</definedName>
    <definedName name="_xlnm.Print_Area" localSheetId="5">問題!$A$1:$N$187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3" l="1"/>
  <c r="AM7" i="2" l="1"/>
  <c r="AD7" i="2"/>
  <c r="V7" i="2"/>
  <c r="F7" i="2"/>
  <c r="D16" i="3" l="1"/>
  <c r="AM34" i="2" l="1"/>
  <c r="AD34" i="2"/>
  <c r="V34" i="2"/>
  <c r="F34" i="2"/>
  <c r="AM33" i="2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63" i="2"/>
  <c r="AD63" i="2"/>
  <c r="V63" i="2"/>
  <c r="F63" i="2"/>
  <c r="AM60" i="2"/>
  <c r="AD60" i="2"/>
  <c r="V60" i="2"/>
  <c r="F60" i="2"/>
  <c r="AM59" i="2"/>
  <c r="AD59" i="2"/>
  <c r="V59" i="2"/>
  <c r="F5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3" i="2"/>
  <c r="AD53" i="2"/>
  <c r="V53" i="2"/>
  <c r="F53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62" i="2"/>
  <c r="AD62" i="2"/>
  <c r="V62" i="2"/>
  <c r="F62" i="2"/>
  <c r="AM61" i="2"/>
  <c r="AD61" i="2"/>
  <c r="V61" i="2"/>
  <c r="F61" i="2"/>
  <c r="AM54" i="2"/>
  <c r="AD54" i="2"/>
  <c r="V54" i="2"/>
  <c r="F54" i="2"/>
  <c r="AM52" i="2"/>
  <c r="AD52" i="2"/>
  <c r="V52" i="2"/>
  <c r="F52" i="2"/>
  <c r="AM76" i="2"/>
  <c r="AD76" i="2"/>
  <c r="V76" i="2"/>
  <c r="F76" i="2"/>
  <c r="AM74" i="2"/>
  <c r="AD74" i="2"/>
  <c r="V74" i="2"/>
  <c r="F74" i="2"/>
  <c r="AM73" i="2"/>
  <c r="AD73" i="2"/>
  <c r="V73" i="2"/>
  <c r="F73" i="2"/>
  <c r="AM70" i="2"/>
  <c r="AD70" i="2"/>
  <c r="V70" i="2"/>
  <c r="F70" i="2"/>
  <c r="AM69" i="2"/>
  <c r="AD69" i="2"/>
  <c r="V69" i="2"/>
  <c r="F69" i="2"/>
  <c r="AM68" i="2"/>
  <c r="AD68" i="2"/>
  <c r="V68" i="2"/>
  <c r="F68" i="2"/>
  <c r="AM65" i="2"/>
  <c r="AD65" i="2"/>
  <c r="V65" i="2"/>
  <c r="F65" i="2"/>
  <c r="AM9" i="2"/>
  <c r="AD9" i="2"/>
  <c r="V9" i="2"/>
  <c r="F9" i="2"/>
  <c r="AM8" i="2"/>
  <c r="AD8" i="2"/>
  <c r="V8" i="2"/>
  <c r="F8" i="2"/>
  <c r="AM77" i="2"/>
  <c r="AD77" i="2"/>
  <c r="V77" i="2"/>
  <c r="F77" i="2"/>
  <c r="AM75" i="2"/>
  <c r="AD75" i="2"/>
  <c r="V75" i="2"/>
  <c r="F75" i="2"/>
  <c r="AM72" i="2"/>
  <c r="AD72" i="2"/>
  <c r="V72" i="2"/>
  <c r="F72" i="2"/>
  <c r="AM71" i="2"/>
  <c r="AD71" i="2"/>
  <c r="V71" i="2"/>
  <c r="F71" i="2"/>
  <c r="AM67" i="2"/>
  <c r="AD67" i="2"/>
  <c r="V67" i="2"/>
  <c r="F67" i="2"/>
  <c r="AM66" i="2"/>
  <c r="AD66" i="2"/>
  <c r="V66" i="2"/>
  <c r="F66" i="2"/>
  <c r="AM64" i="2"/>
  <c r="AD64" i="2"/>
  <c r="V64" i="2"/>
  <c r="F64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F84" i="2"/>
  <c r="V84" i="2"/>
  <c r="AD84" i="2"/>
  <c r="AM84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9" i="2" l="1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6" i="2"/>
  <c r="AD6" i="2"/>
  <c r="V6" i="2"/>
  <c r="F6" i="2"/>
  <c r="AL5" i="2"/>
  <c r="AL7" i="2" s="1"/>
  <c r="AC5" i="2"/>
  <c r="AC7" i="2" s="1"/>
  <c r="U5" i="2"/>
  <c r="U7" i="2" s="1"/>
  <c r="E5" i="2"/>
  <c r="E7" i="2" s="1"/>
  <c r="C7" i="2" l="1"/>
  <c r="U30" i="2"/>
  <c r="U28" i="2"/>
  <c r="U26" i="2"/>
  <c r="U24" i="2"/>
  <c r="U22" i="2"/>
  <c r="U20" i="2"/>
  <c r="U18" i="2"/>
  <c r="U16" i="2"/>
  <c r="U14" i="2"/>
  <c r="U12" i="2"/>
  <c r="U10" i="2"/>
  <c r="U63" i="2"/>
  <c r="U59" i="2"/>
  <c r="U57" i="2"/>
  <c r="U55" i="2"/>
  <c r="U51" i="2"/>
  <c r="U49" i="2"/>
  <c r="U47" i="2"/>
  <c r="U45" i="2"/>
  <c r="U43" i="2"/>
  <c r="U78" i="2"/>
  <c r="U80" i="2"/>
  <c r="U82" i="2"/>
  <c r="U84" i="2"/>
  <c r="U39" i="2"/>
  <c r="U37" i="2"/>
  <c r="U54" i="2"/>
  <c r="U77" i="2"/>
  <c r="U72" i="2"/>
  <c r="U67" i="2"/>
  <c r="U64" i="2"/>
  <c r="U34" i="2"/>
  <c r="U32" i="2"/>
  <c r="U41" i="2"/>
  <c r="U35" i="2"/>
  <c r="U62" i="2"/>
  <c r="U76" i="2"/>
  <c r="U73" i="2"/>
  <c r="U81" i="2"/>
  <c r="U36" i="2"/>
  <c r="U44" i="2"/>
  <c r="U40" i="2"/>
  <c r="U66" i="2"/>
  <c r="U71" i="2"/>
  <c r="U75" i="2"/>
  <c r="U8" i="2"/>
  <c r="U9" i="2"/>
  <c r="U65" i="2"/>
  <c r="U68" i="2"/>
  <c r="U69" i="2"/>
  <c r="U70" i="2"/>
  <c r="U74" i="2"/>
  <c r="U52" i="2"/>
  <c r="U61" i="2"/>
  <c r="U42" i="2"/>
  <c r="U48" i="2"/>
  <c r="U53" i="2"/>
  <c r="U58" i="2"/>
  <c r="U11" i="2"/>
  <c r="U15" i="2"/>
  <c r="U19" i="2"/>
  <c r="U23" i="2"/>
  <c r="U27" i="2"/>
  <c r="U31" i="2"/>
  <c r="U83" i="2"/>
  <c r="U33" i="2"/>
  <c r="U46" i="2"/>
  <c r="U50" i="2"/>
  <c r="U56" i="2"/>
  <c r="U60" i="2"/>
  <c r="U13" i="2"/>
  <c r="U17" i="2"/>
  <c r="U21" i="2"/>
  <c r="U25" i="2"/>
  <c r="U29" i="2"/>
  <c r="U79" i="2"/>
  <c r="U38" i="2"/>
  <c r="E88" i="2"/>
  <c r="E30" i="2"/>
  <c r="E28" i="2"/>
  <c r="E26" i="2"/>
  <c r="E24" i="2"/>
  <c r="E22" i="2"/>
  <c r="E20" i="2"/>
  <c r="E18" i="2"/>
  <c r="E16" i="2"/>
  <c r="E14" i="2"/>
  <c r="E12" i="2"/>
  <c r="E10" i="2"/>
  <c r="E63" i="2"/>
  <c r="E59" i="2"/>
  <c r="E57" i="2"/>
  <c r="E55" i="2"/>
  <c r="E51" i="2"/>
  <c r="E49" i="2"/>
  <c r="E47" i="2"/>
  <c r="E45" i="2"/>
  <c r="E78" i="2"/>
  <c r="E80" i="2"/>
  <c r="E82" i="2"/>
  <c r="E84" i="2"/>
  <c r="E39" i="2"/>
  <c r="E62" i="2"/>
  <c r="E76" i="2"/>
  <c r="E73" i="2"/>
  <c r="E77" i="2"/>
  <c r="E72" i="2"/>
  <c r="E67" i="2"/>
  <c r="E34" i="2"/>
  <c r="E35" i="2"/>
  <c r="E54" i="2"/>
  <c r="E64" i="2"/>
  <c r="E66" i="2"/>
  <c r="E75" i="2"/>
  <c r="E9" i="2"/>
  <c r="E68" i="2"/>
  <c r="E70" i="2"/>
  <c r="E52" i="2"/>
  <c r="E36" i="2"/>
  <c r="E37" i="2"/>
  <c r="E44" i="2"/>
  <c r="E46" i="2"/>
  <c r="E48" i="2"/>
  <c r="E50" i="2"/>
  <c r="E53" i="2"/>
  <c r="E56" i="2"/>
  <c r="E58" i="2"/>
  <c r="E60" i="2"/>
  <c r="E11" i="2"/>
  <c r="E13" i="2"/>
  <c r="E15" i="2"/>
  <c r="E17" i="2"/>
  <c r="E19" i="2"/>
  <c r="E21" i="2"/>
  <c r="E23" i="2"/>
  <c r="E25" i="2"/>
  <c r="E27" i="2"/>
  <c r="E29" i="2"/>
  <c r="E31" i="2"/>
  <c r="E32" i="2"/>
  <c r="E8" i="2"/>
  <c r="E69" i="2"/>
  <c r="E61" i="2"/>
  <c r="E43" i="2"/>
  <c r="E81" i="2"/>
  <c r="E40" i="2"/>
  <c r="E71" i="2"/>
  <c r="E65" i="2"/>
  <c r="E74" i="2"/>
  <c r="E38" i="2"/>
  <c r="E33" i="2"/>
  <c r="E42" i="2"/>
  <c r="E83" i="2"/>
  <c r="E79" i="2"/>
  <c r="E41" i="2"/>
  <c r="AC88" i="2"/>
  <c r="AC30" i="2"/>
  <c r="AC28" i="2"/>
  <c r="AC26" i="2"/>
  <c r="AC24" i="2"/>
  <c r="AC22" i="2"/>
  <c r="AC20" i="2"/>
  <c r="AC18" i="2"/>
  <c r="AC16" i="2"/>
  <c r="AC14" i="2"/>
  <c r="AC12" i="2"/>
  <c r="AC10" i="2"/>
  <c r="AC63" i="2"/>
  <c r="AC59" i="2"/>
  <c r="AC57" i="2"/>
  <c r="AC55" i="2"/>
  <c r="AC51" i="2"/>
  <c r="AC49" i="2"/>
  <c r="AC47" i="2"/>
  <c r="AC45" i="2"/>
  <c r="AC43" i="2"/>
  <c r="AC78" i="2"/>
  <c r="AC80" i="2"/>
  <c r="AC82" i="2"/>
  <c r="AC84" i="2"/>
  <c r="AC39" i="2"/>
  <c r="AC37" i="2"/>
  <c r="AC62" i="2"/>
  <c r="AC54" i="2"/>
  <c r="AC76" i="2"/>
  <c r="AC73" i="2"/>
  <c r="AC77" i="2"/>
  <c r="AC72" i="2"/>
  <c r="AC67" i="2"/>
  <c r="AC64" i="2"/>
  <c r="AC34" i="2"/>
  <c r="AC32" i="2"/>
  <c r="AC41" i="2"/>
  <c r="AC35" i="2"/>
  <c r="AC33" i="2"/>
  <c r="AC66" i="2"/>
  <c r="AC75" i="2"/>
  <c r="AC9" i="2"/>
  <c r="AC68" i="2"/>
  <c r="AC70" i="2"/>
  <c r="AC52" i="2"/>
  <c r="AC42" i="2"/>
  <c r="AC83" i="2"/>
  <c r="AC81" i="2"/>
  <c r="AC79" i="2"/>
  <c r="AC40" i="2"/>
  <c r="AC71" i="2"/>
  <c r="AC65" i="2"/>
  <c r="AC74" i="2"/>
  <c r="AC38" i="2"/>
  <c r="AC36" i="2"/>
  <c r="AC46" i="2"/>
  <c r="AC50" i="2"/>
  <c r="AC56" i="2"/>
  <c r="AC60" i="2"/>
  <c r="AC13" i="2"/>
  <c r="AC17" i="2"/>
  <c r="AC21" i="2"/>
  <c r="AC25" i="2"/>
  <c r="AC29" i="2"/>
  <c r="AC8" i="2"/>
  <c r="AC69" i="2"/>
  <c r="AC61" i="2"/>
  <c r="AC44" i="2"/>
  <c r="AC48" i="2"/>
  <c r="AC53" i="2"/>
  <c r="AC58" i="2"/>
  <c r="AC11" i="2"/>
  <c r="AC15" i="2"/>
  <c r="AC19" i="2"/>
  <c r="AC23" i="2"/>
  <c r="AC27" i="2"/>
  <c r="AC31" i="2"/>
  <c r="AL30" i="2"/>
  <c r="AL28" i="2"/>
  <c r="AL26" i="2"/>
  <c r="AL24" i="2"/>
  <c r="AL22" i="2"/>
  <c r="AL20" i="2"/>
  <c r="AL18" i="2"/>
  <c r="AL16" i="2"/>
  <c r="AL14" i="2"/>
  <c r="AL12" i="2"/>
  <c r="AL10" i="2"/>
  <c r="AL63" i="2"/>
  <c r="AL59" i="2"/>
  <c r="AL57" i="2"/>
  <c r="AL55" i="2"/>
  <c r="AL51" i="2"/>
  <c r="AL49" i="2"/>
  <c r="AL47" i="2"/>
  <c r="AL45" i="2"/>
  <c r="AL43" i="2"/>
  <c r="AL78" i="2"/>
  <c r="AL80" i="2"/>
  <c r="AL82" i="2"/>
  <c r="AL84" i="2"/>
  <c r="AL39" i="2"/>
  <c r="AL37" i="2"/>
  <c r="AL54" i="2"/>
  <c r="AL76" i="2"/>
  <c r="AL73" i="2"/>
  <c r="AL77" i="2"/>
  <c r="AL72" i="2"/>
  <c r="AL67" i="2"/>
  <c r="AL64" i="2"/>
  <c r="AL34" i="2"/>
  <c r="AL32" i="2"/>
  <c r="AL41" i="2"/>
  <c r="AL35" i="2"/>
  <c r="AL62" i="2"/>
  <c r="AL40" i="2"/>
  <c r="AL46" i="2"/>
  <c r="AL48" i="2"/>
  <c r="AL50" i="2"/>
  <c r="AL53" i="2"/>
  <c r="AL56" i="2"/>
  <c r="AL58" i="2"/>
  <c r="AL60" i="2"/>
  <c r="AL11" i="2"/>
  <c r="AL13" i="2"/>
  <c r="AL15" i="2"/>
  <c r="AL17" i="2"/>
  <c r="AL19" i="2"/>
  <c r="AL21" i="2"/>
  <c r="AL23" i="2"/>
  <c r="AL25" i="2"/>
  <c r="AL27" i="2"/>
  <c r="AL29" i="2"/>
  <c r="AL31" i="2"/>
  <c r="AL81" i="2"/>
  <c r="AL36" i="2"/>
  <c r="AL38" i="2"/>
  <c r="AL33" i="2"/>
  <c r="AL79" i="2"/>
  <c r="AL44" i="2"/>
  <c r="AL66" i="2"/>
  <c r="AL75" i="2"/>
  <c r="AL9" i="2"/>
  <c r="AL68" i="2"/>
  <c r="AL70" i="2"/>
  <c r="AL52" i="2"/>
  <c r="AL42" i="2"/>
  <c r="AL83" i="2"/>
  <c r="AL71" i="2"/>
  <c r="AL8" i="2"/>
  <c r="AL65" i="2"/>
  <c r="AL69" i="2"/>
  <c r="AL74" i="2"/>
  <c r="AL61" i="2"/>
  <c r="E86" i="2"/>
  <c r="E89" i="2"/>
  <c r="U6" i="2"/>
  <c r="AC6" i="2"/>
  <c r="AC86" i="2"/>
  <c r="AC89" i="2"/>
  <c r="U85" i="2"/>
  <c r="AL85" i="2"/>
  <c r="E87" i="2"/>
  <c r="AC87" i="2"/>
  <c r="U88" i="2"/>
  <c r="AL88" i="2"/>
  <c r="U86" i="2"/>
  <c r="AL86" i="2"/>
  <c r="U89" i="2"/>
  <c r="AL89" i="2"/>
  <c r="AL6" i="2"/>
  <c r="E6" i="2"/>
  <c r="E85" i="2"/>
  <c r="AC85" i="2"/>
  <c r="U87" i="2"/>
  <c r="AL87" i="2"/>
  <c r="AM57" i="1"/>
  <c r="AD57" i="1"/>
  <c r="V57" i="1"/>
  <c r="F57" i="1"/>
  <c r="AM56" i="1"/>
  <c r="AD56" i="1"/>
  <c r="V56" i="1"/>
  <c r="F56" i="1"/>
  <c r="AM55" i="1"/>
  <c r="AD55" i="1"/>
  <c r="V55" i="1"/>
  <c r="F55" i="1"/>
  <c r="AM54" i="1"/>
  <c r="AD54" i="1"/>
  <c r="V54" i="1"/>
  <c r="F54" i="1"/>
  <c r="AM53" i="1"/>
  <c r="AD53" i="1"/>
  <c r="V53" i="1"/>
  <c r="F53" i="1"/>
  <c r="C72" i="2" l="1"/>
  <c r="C11" i="2"/>
  <c r="AU11" i="2" s="1"/>
  <c r="C89" i="2"/>
  <c r="C73" i="2"/>
  <c r="C53" i="2"/>
  <c r="C54" i="2"/>
  <c r="C44" i="2"/>
  <c r="AU44" i="2" s="1"/>
  <c r="C27" i="2"/>
  <c r="AU27" i="2" s="1"/>
  <c r="C19" i="2"/>
  <c r="AU19" i="2" s="1"/>
  <c r="C41" i="2"/>
  <c r="AU41" i="2" s="1"/>
  <c r="C33" i="2"/>
  <c r="AU33" i="2" s="1"/>
  <c r="C71" i="2"/>
  <c r="C61" i="2"/>
  <c r="C31" i="2"/>
  <c r="AU31" i="2" s="1"/>
  <c r="C23" i="2"/>
  <c r="AU23" i="2" s="1"/>
  <c r="C15" i="2"/>
  <c r="AU15" i="2" s="1"/>
  <c r="C58" i="2"/>
  <c r="C48" i="2"/>
  <c r="C36" i="2"/>
  <c r="AU36" i="2" s="1"/>
  <c r="C84" i="2"/>
  <c r="C45" i="2"/>
  <c r="AU45" i="2" s="1"/>
  <c r="C55" i="2"/>
  <c r="C59" i="2"/>
  <c r="C14" i="2"/>
  <c r="AU14" i="2" s="1"/>
  <c r="C22" i="2"/>
  <c r="AU22" i="2" s="1"/>
  <c r="C26" i="2"/>
  <c r="AU26" i="2" s="1"/>
  <c r="C79" i="2"/>
  <c r="C42" i="2"/>
  <c r="AU42" i="2" s="1"/>
  <c r="C38" i="2"/>
  <c r="AU38" i="2" s="1"/>
  <c r="C65" i="2"/>
  <c r="C40" i="2"/>
  <c r="AU40" i="2" s="1"/>
  <c r="C43" i="2"/>
  <c r="AU43" i="2" s="1"/>
  <c r="C69" i="2"/>
  <c r="C32" i="2"/>
  <c r="AU32" i="2" s="1"/>
  <c r="C29" i="2"/>
  <c r="AU29" i="2" s="1"/>
  <c r="C25" i="2"/>
  <c r="AU25" i="2" s="1"/>
  <c r="C21" i="2"/>
  <c r="AU21" i="2" s="1"/>
  <c r="C17" i="2"/>
  <c r="AU17" i="2" s="1"/>
  <c r="C13" i="2"/>
  <c r="AU13" i="2" s="1"/>
  <c r="C60" i="2"/>
  <c r="C56" i="2"/>
  <c r="C50" i="2"/>
  <c r="C46" i="2"/>
  <c r="AU46" i="2" s="1"/>
  <c r="C37" i="2"/>
  <c r="AU37" i="2" s="1"/>
  <c r="C52" i="2"/>
  <c r="C68" i="2"/>
  <c r="C75" i="2"/>
  <c r="C64" i="2"/>
  <c r="C35" i="2"/>
  <c r="AU35" i="2" s="1"/>
  <c r="C67" i="2"/>
  <c r="C77" i="2"/>
  <c r="C76" i="2"/>
  <c r="C39" i="2"/>
  <c r="AU39" i="2" s="1"/>
  <c r="C82" i="2"/>
  <c r="C78" i="2"/>
  <c r="C47" i="2"/>
  <c r="AU47" i="2" s="1"/>
  <c r="C51" i="2"/>
  <c r="C57" i="2"/>
  <c r="C63" i="2"/>
  <c r="C12" i="2"/>
  <c r="AU12" i="2" s="1"/>
  <c r="C16" i="2"/>
  <c r="C20" i="2"/>
  <c r="AU20" i="2" s="1"/>
  <c r="C24" i="2"/>
  <c r="AU24" i="2" s="1"/>
  <c r="C28" i="2"/>
  <c r="AU28" i="2" s="1"/>
  <c r="C83" i="2"/>
  <c r="C74" i="2"/>
  <c r="C81" i="2"/>
  <c r="C8" i="2"/>
  <c r="AU8" i="2" s="1"/>
  <c r="C70" i="2"/>
  <c r="C9" i="2"/>
  <c r="AU9" i="2" s="1"/>
  <c r="C66" i="2"/>
  <c r="C34" i="2"/>
  <c r="AU34" i="2" s="1"/>
  <c r="C62" i="2"/>
  <c r="C80" i="2"/>
  <c r="C49" i="2"/>
  <c r="C10" i="2"/>
  <c r="AU10" i="2" s="1"/>
  <c r="C18" i="2"/>
  <c r="AU18" i="2" s="1"/>
  <c r="C30" i="2"/>
  <c r="AU30" i="2" s="1"/>
  <c r="C88" i="2"/>
  <c r="C86" i="2"/>
  <c r="C85" i="2"/>
  <c r="C87" i="2"/>
  <c r="C6" i="2"/>
  <c r="AV7" i="2" l="1"/>
  <c r="AV6" i="2"/>
  <c r="AU16" i="2"/>
  <c r="AU89" i="2" s="1"/>
  <c r="E5" i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57" i="1" l="1"/>
  <c r="E56" i="1"/>
  <c r="E55" i="1"/>
  <c r="E53" i="1"/>
  <c r="E54" i="1"/>
  <c r="V21" i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6" i="1"/>
  <c r="F6" i="1"/>
  <c r="E6" i="1" s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55" i="1" l="1"/>
  <c r="AC54" i="1"/>
  <c r="AC53" i="1"/>
  <c r="AC57" i="1"/>
  <c r="AC56" i="1"/>
  <c r="U54" i="1"/>
  <c r="U57" i="1"/>
  <c r="U56" i="1"/>
  <c r="C56" i="1" s="1"/>
  <c r="U55" i="1"/>
  <c r="C55" i="1" s="1"/>
  <c r="U53" i="1"/>
  <c r="C53" i="1" s="1"/>
  <c r="C54" i="1"/>
  <c r="U19" i="1"/>
  <c r="AL14" i="1"/>
  <c r="AL56" i="1"/>
  <c r="AL53" i="1"/>
  <c r="AL54" i="1"/>
  <c r="AL57" i="1"/>
  <c r="AL55" i="1"/>
  <c r="C57" i="1"/>
  <c r="AC22" i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52" i="1" l="1"/>
  <c r="C19" i="1"/>
  <c r="C22" i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<sst xmlns="http://schemas.openxmlformats.org/spreadsheetml/2006/main" count="3071" uniqueCount="486">
  <si>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</si>
  <si>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</si>
  <si>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</si>
  <si>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</si>
  <si>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</si>
  <si>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</si>
  <si>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</si>
  <si>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</si>
  <si>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</si>
  <si>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</si>
  <si>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</si>
  <si>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</si>
  <si>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</si>
  <si>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</si>
  <si>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</si>
  <si>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</si>
  <si>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</si>
  <si>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</si>
  <si>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</si>
  <si>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</si>
  <si>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</si>
  <si>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</si>
  <si>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</si>
  <si>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</si>
  <si>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</si>
  <si>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</si>
  <si>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</si>
  <si>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</si>
  <si>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</si>
  <si>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</si>
  <si>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</si>
  <si>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</si>
  <si>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</si>
  <si>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</si>
  <si>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</si>
  <si>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</si>
  <si>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</si>
  <si>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</si>
  <si>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</si>
  <si>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</si>
  <si>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</si>
  <si>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</si>
  <si>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</si>
  <si>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</si>
  <si>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</si>
  <si>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</si>
  <si>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</si>
  <si>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</si>
  <si>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</si>
  <si>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</si>
  <si>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</si>
  <si>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</si>
  <si>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</si>
  <si>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</si>
  <si>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</si>
  <si>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</si>
  <si>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</si>
  <si>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</si>
  <si>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</si>
  <si>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</si>
  <si>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</si>
  <si>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</si>
  <si>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</si>
  <si>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</si>
  <si>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</si>
  <si>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</si>
  <si>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</si>
  <si>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</si>
  <si>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</si>
  <si>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</si>
  <si>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</si>
  <si>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</si>
  <si>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</si>
  <si>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</si>
  <si>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</si>
  <si>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</si>
  <si>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</si>
  <si>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</si>
  <si>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</si>
  <si>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</si>
  <si>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</si>
  <si>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</si>
  <si>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</si>
  <si>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</si>
  <si>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</si>
  <si>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</si>
  <si>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</si>
  <si>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</si>
  <si>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</si>
  <si>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</si>
  <si>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</si>
  <si>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</si>
  <si>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</si>
  <si>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</si>
  <si>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</si>
  <si>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</si>
  <si>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</si>
  <si>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</si>
  <si>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</si>
  <si>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</si>
  <si>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</si>
  <si>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</si>
  <si>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</si>
  <si>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</si>
  <si>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</si>
  <si>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</si>
  <si>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</si>
  <si>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</si>
  <si>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</si>
  <si>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</si>
  <si>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</si>
  <si>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</si>
  <si>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</si>
  <si>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</si>
  <si>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</si>
  <si>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</si>
  <si>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</si>
  <si>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</si>
  <si>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</si>
  <si>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</si>
  <si>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</si>
  <si>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</si>
  <si>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</si>
  <si>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</si>
  <si>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</si>
  <si>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</si>
  <si>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</si>
  <si>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</si>
  <si>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</si>
  <si>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</si>
  <si>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</si>
  <si>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</si>
  <si>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</si>
  <si>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</si>
  <si>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</si>
  <si>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</si>
  <si>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</si>
  <si>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</si>
  <si>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</si>
  <si>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</si>
  <si>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</si>
  <si>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</si>
  <si>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</si>
  <si>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</si>
  <si>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</si>
  <si>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</si>
  <si>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</si>
  <si>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</si>
  <si>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</si>
  <si>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</si>
  <si>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</si>
  <si>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</si>
  <si>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</si>
  <si>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</si>
  <si>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</si>
  <si>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</si>
  <si>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</si>
  <si>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</si>
  <si>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</si>
  <si>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</si>
  <si>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</si>
  <si>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</si>
  <si>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</si>
  <si>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</si>
  <si>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</si>
  <si>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</si>
  <si>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</si>
  <si>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</si>
  <si>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</si>
  <si>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</si>
  <si>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</si>
  <si>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</si>
  <si>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</si>
  <si>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</si>
  <si>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</si>
  <si>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</si>
  <si>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</si>
  <si>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</si>
  <si>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</si>
  <si>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</si>
  <si>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</si>
  <si>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</si>
  <si>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</si>
  <si>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</si>
  <si>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</si>
  <si>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</si>
  <si>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</si>
  <si>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</si>
  <si>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</si>
  <si>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</si>
  <si>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</si>
  <si>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</si>
  <si>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</si>
  <si>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</si>
  <si>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</si>
  <si>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</si>
  <si>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</si>
  <si>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</si>
  <si>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</si>
  <si>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</si>
  <si>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</si>
  <si>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</si>
  <si>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</si>
  <si>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</si>
  <si>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</si>
  <si>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</si>
  <si>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</si>
  <si>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</si>
  <si>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</si>
  <si>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</si>
  <si>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</si>
  <si>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</si>
  <si>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</si>
  <si>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</si>
  <si>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</si>
  <si>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</si>
  <si>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</si>
  <si>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</si>
  <si>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</si>
  <si>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</si>
  <si>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</si>
  <si>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</si>
  <si>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</si>
  <si>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</si>
  <si>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</si>
  <si>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</si>
  <si>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</si>
  <si>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</si>
  <si>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</si>
  <si>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</si>
  <si>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</si>
  <si>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</si>
  <si>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</si>
  <si>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</si>
  <si>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</si>
  <si>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</si>
  <si>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</si>
  <si>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</si>
  <si>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</si>
  <si>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</si>
  <si>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</si>
  <si>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</si>
  <si>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</si>
  <si>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</si>
  <si>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</si>
  <si>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</si>
  <si>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</si>
  <si>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</si>
  <si>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</si>
  <si>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</si>
  <si>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</si>
  <si>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</si>
  <si>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</si>
  <si>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</si>
  <si>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</si>
  <si>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</si>
  <si>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</si>
  <si>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</si>
  <si>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</si>
  <si>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</si>
  <si>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</si>
  <si>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</si>
  <si>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</si>
  <si>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</si>
  <si>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</si>
  <si>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</si>
  <si>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</si>
  <si>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</si>
  <si>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</si>
  <si>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</si>
  <si>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</si>
  <si>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</si>
  <si>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</si>
  <si>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</si>
  <si>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</si>
  <si>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</si>
  <si>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</si>
  <si>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</si>
  <si>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</si>
  <si>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</si>
  <si>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</si>
  <si>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</si>
  <si>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</si>
  <si>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</si>
  <si>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</si>
  <si>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</si>
  <si>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</si>
  <si>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</si>
  <si>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</si>
  <si>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</si>
  <si>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</si>
  <si>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</si>
  <si>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問題４</t>
    <phoneticPr fontId="1"/>
  </si>
  <si>
    <t>三池　章弘</t>
  </si>
  <si>
    <t>荒川　功樹</t>
  </si>
  <si>
    <t>森　優斗</t>
  </si>
  <si>
    <t>本田　楓賀</t>
  </si>
  <si>
    <t>大岡　蓮</t>
  </si>
  <si>
    <t>田辺　季子</t>
  </si>
  <si>
    <t>松本　希</t>
  </si>
  <si>
    <t>小畑　舞依</t>
  </si>
  <si>
    <t>手束　丈騎</t>
  </si>
  <si>
    <t>才木　敦浩</t>
  </si>
  <si>
    <t>山口　心寧</t>
  </si>
  <si>
    <t>山本　悠太</t>
  </si>
  <si>
    <t>瀨野　たまき</t>
  </si>
  <si>
    <t>樋口　幸菜</t>
  </si>
  <si>
    <t>吉田　隼人</t>
  </si>
  <si>
    <t>山中　里紗</t>
  </si>
  <si>
    <t>新島　恵美梨</t>
  </si>
  <si>
    <t>呼子　萌華</t>
  </si>
  <si>
    <t>荒木　慎太郎</t>
  </si>
  <si>
    <t>榎並　瑠哉</t>
  </si>
  <si>
    <t>ストラットフォード　響</t>
  </si>
  <si>
    <t>坂口　新之輔</t>
  </si>
  <si>
    <t>平井　堅斗</t>
  </si>
  <si>
    <t>小柳　龍希</t>
  </si>
  <si>
    <t>大石　湧太</t>
  </si>
  <si>
    <t>西村　淳輝</t>
  </si>
  <si>
    <t>井上　叶翔</t>
  </si>
  <si>
    <t>平田　圭友</t>
  </si>
  <si>
    <t>問題１</t>
  </si>
  <si>
    <t>G:\マイドライブ\処理待ち\Desktop\ExcelSpreadsheet2022\22121_第3Q_Excel入門.xlsx</t>
    <phoneticPr fontId="1"/>
  </si>
  <si>
    <t>Sheet１</t>
    <phoneticPr fontId="1"/>
  </si>
  <si>
    <t>令和４年度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</si>
  <si>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完成見本</t>
    <rPh sb="0" eb="2">
      <t>カンセイ</t>
    </rPh>
    <rPh sb="2" eb="4">
      <t>ミホン</t>
    </rPh>
    <phoneticPr fontId="1"/>
  </si>
  <si>
    <t>フォント・フォントサイズ・
フォントの色の設定
セルを結合して中央揃え</t>
    <rPh sb="19" eb="20">
      <t>イロ</t>
    </rPh>
    <rPh sb="21" eb="23">
      <t>セッテイ</t>
    </rPh>
    <rPh sb="27" eb="29">
      <t>ケツゴウ</t>
    </rPh>
    <rPh sb="31" eb="33">
      <t>チュウオウ</t>
    </rPh>
    <rPh sb="33" eb="34">
      <t>ソロ</t>
    </rPh>
    <phoneticPr fontId="1"/>
  </si>
  <si>
    <t>中央揃え</t>
    <rPh sb="0" eb="2">
      <t>チュウオウ</t>
    </rPh>
    <rPh sb="2" eb="3">
      <t>ソロ</t>
    </rPh>
    <phoneticPr fontId="1"/>
  </si>
  <si>
    <t>列幅の変更</t>
    <rPh sb="0" eb="2">
      <t>レツハバ</t>
    </rPh>
    <rPh sb="3" eb="5">
      <t>ヘンコウ</t>
    </rPh>
    <phoneticPr fontId="1"/>
  </si>
  <si>
    <t>SUM関数</t>
    <rPh sb="3" eb="5">
      <t>カンスウ</t>
    </rPh>
    <phoneticPr fontId="1"/>
  </si>
  <si>
    <t>AVERAGE関数</t>
    <rPh sb="7" eb="9">
      <t>カンスウ</t>
    </rPh>
    <phoneticPr fontId="1"/>
  </si>
  <si>
    <t>セルの塗りつぶしの設定</t>
    <rPh sb="3" eb="4">
      <t>ヌ</t>
    </rPh>
    <rPh sb="9" eb="11">
      <t>セッテイ</t>
    </rPh>
    <phoneticPr fontId="1"/>
  </si>
  <si>
    <t>３桁区切りカンマ表示</t>
    <rPh sb="1" eb="2">
      <t>ケタ</t>
    </rPh>
    <rPh sb="2" eb="4">
      <t>クギ</t>
    </rPh>
    <rPh sb="8" eb="10">
      <t>ヒョウジ</t>
    </rPh>
    <phoneticPr fontId="1"/>
  </si>
  <si>
    <t>絶対参照を使った数式の入力
パーセントの表示
小数点以下の桁数の表示</t>
    <rPh sb="0" eb="2">
      <t>ゼッタイ</t>
    </rPh>
    <rPh sb="2" eb="4">
      <t>サンショウ</t>
    </rPh>
    <rPh sb="5" eb="6">
      <t>ツカ</t>
    </rPh>
    <rPh sb="8" eb="10">
      <t>スウシキ</t>
    </rPh>
    <rPh sb="11" eb="13">
      <t>ニュウリョク</t>
    </rPh>
    <rPh sb="20" eb="22">
      <t>ヒョウジ</t>
    </rPh>
    <rPh sb="23" eb="25">
      <t>ショウスウ</t>
    </rPh>
    <rPh sb="25" eb="26">
      <t>テン</t>
    </rPh>
    <rPh sb="26" eb="28">
      <t>イカ</t>
    </rPh>
    <rPh sb="29" eb="31">
      <t>ケタスウ</t>
    </rPh>
    <rPh sb="32" eb="34">
      <t>ヒョウジ</t>
    </rPh>
    <phoneticPr fontId="1"/>
  </si>
  <si>
    <t>グラフのタイトル入力</t>
    <rPh sb="8" eb="10">
      <t>ニュウリョク</t>
    </rPh>
    <phoneticPr fontId="1"/>
  </si>
  <si>
    <t>切り離し円の作成</t>
    <rPh sb="0" eb="1">
      <t>キ</t>
    </rPh>
    <rPh sb="2" eb="3">
      <t>ハナ</t>
    </rPh>
    <rPh sb="4" eb="5">
      <t>エン</t>
    </rPh>
    <rPh sb="6" eb="8">
      <t>サクセイ</t>
    </rPh>
    <phoneticPr fontId="1"/>
  </si>
  <si>
    <t>円グラフの作成
グラフのスタイルの適用</t>
    <rPh sb="0" eb="1">
      <t>エン</t>
    </rPh>
    <rPh sb="5" eb="7">
      <t>サクセイ</t>
    </rPh>
    <rPh sb="17" eb="19">
      <t>テキヨウ</t>
    </rPh>
    <phoneticPr fontId="1"/>
  </si>
  <si>
    <t>軸ラベルの表示・書式設定</t>
    <rPh sb="0" eb="1">
      <t>ジク</t>
    </rPh>
    <rPh sb="5" eb="7">
      <t>ヒョウジ</t>
    </rPh>
    <rPh sb="8" eb="10">
      <t>ショシキ</t>
    </rPh>
    <rPh sb="10" eb="12">
      <t>セッテイ</t>
    </rPh>
    <phoneticPr fontId="1"/>
  </si>
  <si>
    <t>値軸の書式設定</t>
    <rPh sb="0" eb="1">
      <t>アタイ</t>
    </rPh>
    <rPh sb="1" eb="2">
      <t>ジク</t>
    </rPh>
    <rPh sb="3" eb="5">
      <t>ショシキ</t>
    </rPh>
    <rPh sb="5" eb="7">
      <t>セッテイ</t>
    </rPh>
    <phoneticPr fontId="1"/>
  </si>
  <si>
    <t>縦軸グラフの作成
グラフフィルターの利用</t>
    <rPh sb="0" eb="2">
      <t>タテジク</t>
    </rPh>
    <rPh sb="6" eb="8">
      <t>サクセイ</t>
    </rPh>
    <rPh sb="18" eb="20">
      <t>リヨウ</t>
    </rPh>
    <phoneticPr fontId="1"/>
  </si>
  <si>
    <t>グラフエリアの書式設定</t>
    <rPh sb="7" eb="9">
      <t>ショシキ</t>
    </rPh>
    <rPh sb="9" eb="11">
      <t>セッテイ</t>
    </rPh>
    <phoneticPr fontId="1"/>
  </si>
  <si>
    <t>［問題１作成手順］</t>
    <rPh sb="1" eb="3">
      <t>モンダイ</t>
    </rPh>
    <rPh sb="4" eb="6">
      <t>サクセイ</t>
    </rPh>
    <rPh sb="6" eb="8">
      <t>テジュン</t>
    </rPh>
    <phoneticPr fontId="1"/>
  </si>
  <si>
    <r>
      <rPr>
        <b/>
        <sz val="14"/>
        <color rgb="FF0000FF"/>
        <rFont val="游ゴシック"/>
        <family val="3"/>
        <charset val="128"/>
        <scheme val="minor"/>
      </rPr>
      <t>問題１のシートを使用</t>
    </r>
    <r>
      <rPr>
        <sz val="11"/>
        <color theme="1"/>
        <rFont val="游ゴシック"/>
        <family val="2"/>
        <charset val="128"/>
        <scheme val="minor"/>
      </rPr>
      <t>し、以下の手順にて、完成見本の「FOMブックストアー　下期売上表」を作成せよ。</t>
    </r>
    <rPh sb="0" eb="2">
      <t>モンダイ</t>
    </rPh>
    <rPh sb="8" eb="10">
      <t>シヨウ</t>
    </rPh>
    <rPh sb="12" eb="14">
      <t>イカ</t>
    </rPh>
    <rPh sb="15" eb="17">
      <t>テジュン</t>
    </rPh>
    <rPh sb="20" eb="22">
      <t>カンセイ</t>
    </rPh>
    <rPh sb="22" eb="24">
      <t>ミホン</t>
    </rPh>
    <rPh sb="37" eb="39">
      <t>シモキ</t>
    </rPh>
    <rPh sb="39" eb="41">
      <t>ウリアゲ</t>
    </rPh>
    <rPh sb="41" eb="42">
      <t>ヒョウ</t>
    </rPh>
    <rPh sb="44" eb="46">
      <t>サクセイ</t>
    </rPh>
    <phoneticPr fontId="1"/>
  </si>
  <si>
    <t>※９行目については、⑯にて追加します。</t>
    <rPh sb="2" eb="4">
      <t>ギョウメ</t>
    </rPh>
    <rPh sb="13" eb="15">
      <t>ツイカ</t>
    </rPh>
    <phoneticPr fontId="1"/>
  </si>
  <si>
    <t>下期合計（I列の合計を求めなさい）</t>
    <rPh sb="0" eb="2">
      <t>シモキ</t>
    </rPh>
    <rPh sb="2" eb="4">
      <t>ゴウケイ</t>
    </rPh>
    <rPh sb="6" eb="7">
      <t>レツ</t>
    </rPh>
    <rPh sb="8" eb="10">
      <t>ゴウケイ</t>
    </rPh>
    <rPh sb="11" eb="12">
      <t>モト</t>
    </rPh>
    <phoneticPr fontId="1"/>
  </si>
  <si>
    <t>・セル「I5」に「SUM」関数を使用し、「和書」の下期合計を算出せよ。</t>
    <rPh sb="13" eb="15">
      <t>カンスウ</t>
    </rPh>
    <rPh sb="16" eb="18">
      <t>シヨウ</t>
    </rPh>
    <rPh sb="21" eb="23">
      <t>ワショ</t>
    </rPh>
    <rPh sb="25" eb="27">
      <t>シモキ</t>
    </rPh>
    <rPh sb="27" eb="29">
      <t>ゴウケイ</t>
    </rPh>
    <rPh sb="30" eb="32">
      <t>サンシュツ</t>
    </rPh>
    <phoneticPr fontId="1"/>
  </si>
  <si>
    <t>・その後、セル範囲「I6：I9」に数式「I5」をコピー（ドラッグ※１）せよ。</t>
    <rPh sb="3" eb="4">
      <t>ゴ</t>
    </rPh>
    <rPh sb="7" eb="9">
      <t>ハンイ</t>
    </rPh>
    <rPh sb="17" eb="19">
      <t>スウシキ</t>
    </rPh>
    <phoneticPr fontId="1"/>
  </si>
  <si>
    <t>※１：セル「I5」の右下の■（フィルハンドル）をセル「I9」までドラックする。（以降操作記載省略）</t>
    <rPh sb="10" eb="12">
      <t>ミギシタ</t>
    </rPh>
    <rPh sb="40" eb="42">
      <t>イコウ</t>
    </rPh>
    <rPh sb="42" eb="44">
      <t>ソウサ</t>
    </rPh>
    <rPh sb="44" eb="46">
      <t>キサイ</t>
    </rPh>
    <rPh sb="46" eb="48">
      <t>ショウリャク</t>
    </rPh>
    <phoneticPr fontId="1"/>
  </si>
  <si>
    <t>合計（１０行目の合計を求めなさい）</t>
    <rPh sb="0" eb="2">
      <t>ゴウケイ</t>
    </rPh>
    <rPh sb="5" eb="7">
      <t>ギョウメ</t>
    </rPh>
    <rPh sb="8" eb="10">
      <t>ゴウケイ</t>
    </rPh>
    <rPh sb="11" eb="12">
      <t>モト</t>
    </rPh>
    <phoneticPr fontId="1"/>
  </si>
  <si>
    <t>・セル「C10」に「SUM」関数を使用し、「10月」の合計を算出せよ。</t>
    <rPh sb="14" eb="16">
      <t>カンスウ</t>
    </rPh>
    <rPh sb="17" eb="19">
      <t>シヨウ</t>
    </rPh>
    <rPh sb="24" eb="25">
      <t>ガツ</t>
    </rPh>
    <rPh sb="27" eb="29">
      <t>ゴウケイ</t>
    </rPh>
    <rPh sb="30" eb="32">
      <t>サンシュツ</t>
    </rPh>
    <phoneticPr fontId="1"/>
  </si>
  <si>
    <t>・その後、セル範囲「D10：I10」に数式「C10」をコピー（ドラッグ）せよ。</t>
    <rPh sb="3" eb="4">
      <t>ゴ</t>
    </rPh>
    <rPh sb="7" eb="9">
      <t>ハンイ</t>
    </rPh>
    <rPh sb="19" eb="21">
      <t>スウシキ</t>
    </rPh>
    <phoneticPr fontId="1"/>
  </si>
  <si>
    <t>平均（１１行目の月の「平均」を求めなさい）</t>
    <rPh sb="0" eb="2">
      <t>ヘイキン</t>
    </rPh>
    <rPh sb="5" eb="7">
      <t>ギョウメ</t>
    </rPh>
    <rPh sb="8" eb="9">
      <t>ツキ</t>
    </rPh>
    <rPh sb="11" eb="13">
      <t>ヘイキン</t>
    </rPh>
    <rPh sb="15" eb="16">
      <t>モト</t>
    </rPh>
    <phoneticPr fontId="1"/>
  </si>
  <si>
    <t>・セル「C11」に「AVERAGE」関数を使用し、「10月」の平均を算出せよ。</t>
    <rPh sb="18" eb="20">
      <t>カンスウ</t>
    </rPh>
    <rPh sb="21" eb="23">
      <t>シヨウ</t>
    </rPh>
    <rPh sb="28" eb="29">
      <t>ガツ</t>
    </rPh>
    <rPh sb="31" eb="33">
      <t>ヘイキン</t>
    </rPh>
    <rPh sb="34" eb="36">
      <t>サンシュツ</t>
    </rPh>
    <phoneticPr fontId="1"/>
  </si>
  <si>
    <t>・その後、セル範囲「D11：I11」に数式「C11」をコピー（ドラッグ）せよ。</t>
    <rPh sb="3" eb="4">
      <t>ゴ</t>
    </rPh>
    <rPh sb="7" eb="9">
      <t>ハンイ</t>
    </rPh>
    <rPh sb="19" eb="21">
      <t>スウシキ</t>
    </rPh>
    <phoneticPr fontId="1"/>
  </si>
  <si>
    <r>
      <t>売上構成比（</t>
    </r>
    <r>
      <rPr>
        <b/>
        <sz val="11"/>
        <color rgb="FFFF0000"/>
        <rFont val="游ゴシック"/>
        <family val="3"/>
        <charset val="128"/>
        <scheme val="minor"/>
      </rPr>
      <t>絶対参照</t>
    </r>
    <r>
      <rPr>
        <sz val="11"/>
        <color theme="1"/>
        <rFont val="游ゴシック"/>
        <family val="2"/>
        <charset val="128"/>
        <scheme val="minor"/>
      </rPr>
      <t>を使用し、「売上構成比※２」を求めなさい）</t>
    </r>
    <rPh sb="0" eb="2">
      <t>ウリアゲ</t>
    </rPh>
    <rPh sb="2" eb="5">
      <t>コウセイヒ</t>
    </rPh>
    <rPh sb="6" eb="8">
      <t>ゼッタイ</t>
    </rPh>
    <rPh sb="8" eb="10">
      <t>サンショウ</t>
    </rPh>
    <rPh sb="11" eb="13">
      <t>シヨウ</t>
    </rPh>
    <rPh sb="16" eb="18">
      <t>ウリアゲ</t>
    </rPh>
    <rPh sb="18" eb="21">
      <t>コウセイヒ</t>
    </rPh>
    <rPh sb="25" eb="26">
      <t>モト</t>
    </rPh>
    <phoneticPr fontId="1"/>
  </si>
  <si>
    <r>
      <t>※２：「各分野の下期合計」÷「</t>
    </r>
    <r>
      <rPr>
        <b/>
        <sz val="11"/>
        <color rgb="FFFF0000"/>
        <rFont val="游ゴシック"/>
        <family val="3"/>
        <charset val="128"/>
        <scheme val="minor"/>
      </rPr>
      <t>下期総合計</t>
    </r>
    <r>
      <rPr>
        <b/>
        <sz val="11"/>
        <color theme="1"/>
        <rFont val="游ゴシック"/>
        <family val="3"/>
        <charset val="128"/>
        <scheme val="minor"/>
      </rPr>
      <t>」で求めること</t>
    </r>
    <rPh sb="4" eb="7">
      <t>カクブンヤ</t>
    </rPh>
    <rPh sb="8" eb="10">
      <t>シモキ</t>
    </rPh>
    <rPh sb="10" eb="12">
      <t>ゴウケイ</t>
    </rPh>
    <rPh sb="15" eb="17">
      <t>シモキ</t>
    </rPh>
    <rPh sb="17" eb="18">
      <t>ソウ</t>
    </rPh>
    <rPh sb="18" eb="20">
      <t>ゴウケイ</t>
    </rPh>
    <rPh sb="22" eb="23">
      <t>モト</t>
    </rPh>
    <phoneticPr fontId="1"/>
  </si>
  <si>
    <t>・セル「J5」に※２の数式を入力し、「和書」の「売上構成比」を算出せよ。</t>
    <rPh sb="11" eb="13">
      <t>スウシキ</t>
    </rPh>
    <rPh sb="14" eb="16">
      <t>ニュウリョク</t>
    </rPh>
    <rPh sb="19" eb="21">
      <t>ワショ</t>
    </rPh>
    <rPh sb="24" eb="26">
      <t>ウリアゲ</t>
    </rPh>
    <rPh sb="26" eb="29">
      <t>コウセイヒ</t>
    </rPh>
    <rPh sb="31" eb="33">
      <t>サンシュツ</t>
    </rPh>
    <phoneticPr fontId="1"/>
  </si>
  <si>
    <t>・その後、セル範囲「J6：J10」に数式「J5」をコピー（ドラッグ）せよ。</t>
    <rPh sb="3" eb="4">
      <t>ゴ</t>
    </rPh>
    <rPh sb="7" eb="9">
      <t>ハンイ</t>
    </rPh>
    <rPh sb="18" eb="20">
      <t>スウシキ</t>
    </rPh>
    <phoneticPr fontId="1"/>
  </si>
  <si>
    <t>罫線（表全体を格子線を引きなさい）</t>
    <rPh sb="0" eb="2">
      <t>ケイセン</t>
    </rPh>
    <rPh sb="3" eb="4">
      <t>ヒョウ</t>
    </rPh>
    <rPh sb="4" eb="6">
      <t>ゼンタイ</t>
    </rPh>
    <rPh sb="7" eb="9">
      <t>コウシ</t>
    </rPh>
    <rPh sb="9" eb="10">
      <t>セン</t>
    </rPh>
    <phoneticPr fontId="1"/>
  </si>
  <si>
    <t>・セル範囲「B4:J11」を選択する。</t>
    <rPh sb="3" eb="5">
      <t>ハンイ</t>
    </rPh>
    <rPh sb="14" eb="16">
      <t>センタク</t>
    </rPh>
    <phoneticPr fontId="1"/>
  </si>
  <si>
    <t>・《ホーム》タブ⇒《フォント》グループの下罫線をクリック⇒《格子》を選択する。</t>
    <rPh sb="20" eb="21">
      <t>シタ</t>
    </rPh>
    <rPh sb="21" eb="23">
      <t>ケイセン</t>
    </rPh>
    <rPh sb="30" eb="32">
      <t>コウシ</t>
    </rPh>
    <rPh sb="34" eb="36">
      <t>センタク</t>
    </rPh>
    <phoneticPr fontId="1"/>
  </si>
  <si>
    <t>４行目項目名</t>
    <rPh sb="1" eb="3">
      <t>ギョウメ</t>
    </rPh>
    <rPh sb="3" eb="5">
      <t>コウモク</t>
    </rPh>
    <rPh sb="5" eb="6">
      <t>ナ</t>
    </rPh>
    <phoneticPr fontId="1"/>
  </si>
  <si>
    <t>・セル範囲「B4:J4」を選択する。</t>
    <rPh sb="3" eb="5">
      <t>ハンイ</t>
    </rPh>
    <rPh sb="13" eb="15">
      <t>センタク</t>
    </rPh>
    <phoneticPr fontId="1"/>
  </si>
  <si>
    <t>・《ホーム》タブ⇒《フォント》グループの塗りつぶしの色をクリックする。</t>
    <rPh sb="20" eb="21">
      <t>ヌ</t>
    </rPh>
    <rPh sb="26" eb="27">
      <t>イロ</t>
    </rPh>
    <phoneticPr fontId="1"/>
  </si>
  <si>
    <t>・《テーマの色》の《青、アクセント５、白＋基本色40%》を選択する。</t>
    <rPh sb="6" eb="7">
      <t>イロ</t>
    </rPh>
    <rPh sb="29" eb="31">
      <t>センタク</t>
    </rPh>
    <phoneticPr fontId="1"/>
  </si>
  <si>
    <t>B列項目名</t>
    <rPh sb="1" eb="2">
      <t>レツ</t>
    </rPh>
    <rPh sb="2" eb="4">
      <t>コウモク</t>
    </rPh>
    <rPh sb="4" eb="5">
      <t>ナ</t>
    </rPh>
    <phoneticPr fontId="1"/>
  </si>
  <si>
    <t>・セル範囲「B5:B11」を選択する。</t>
    <rPh sb="3" eb="5">
      <t>ハンイ</t>
    </rPh>
    <rPh sb="14" eb="16">
      <t>センタク</t>
    </rPh>
    <phoneticPr fontId="1"/>
  </si>
  <si>
    <t>・《テーマの色》の《青、アクセント５、白＋基本色80%》を選択する。</t>
    <rPh sb="6" eb="7">
      <t>イロ</t>
    </rPh>
    <rPh sb="29" eb="31">
      <t>センタク</t>
    </rPh>
    <phoneticPr fontId="1"/>
  </si>
  <si>
    <t>・セル「B2」を選択する。</t>
    <rPh sb="8" eb="10">
      <t>センタク</t>
    </rPh>
    <phoneticPr fontId="1"/>
  </si>
  <si>
    <t>・《ホーム》タブ⇒《フォント》グループの以下の項目をそれぞれ選択する。</t>
    <rPh sb="20" eb="22">
      <t>イカ</t>
    </rPh>
    <rPh sb="23" eb="25">
      <t>コウモク</t>
    </rPh>
    <rPh sb="30" eb="32">
      <t>センタク</t>
    </rPh>
    <phoneticPr fontId="1"/>
  </si>
  <si>
    <t>・フォント　　　　　：HGP創英角ゴシックUB</t>
    <rPh sb="14" eb="17">
      <t>ソウエイカク</t>
    </rPh>
    <phoneticPr fontId="1"/>
  </si>
  <si>
    <t>・フォントサイズ　　：１６ポイント</t>
    <phoneticPr fontId="1"/>
  </si>
  <si>
    <t>・フォントの色　　　：ブルーグレー、テキスト２</t>
    <rPh sb="6" eb="7">
      <t>イロ</t>
    </rPh>
    <phoneticPr fontId="1"/>
  </si>
  <si>
    <t>売上金額（表形式（３桁区切りカンマの表示））</t>
    <rPh sb="0" eb="2">
      <t>ウリアゲ</t>
    </rPh>
    <rPh sb="2" eb="4">
      <t>キンガク</t>
    </rPh>
    <rPh sb="5" eb="6">
      <t>ヒョウ</t>
    </rPh>
    <rPh sb="6" eb="8">
      <t>ケイシキ</t>
    </rPh>
    <rPh sb="10" eb="11">
      <t>ケタ</t>
    </rPh>
    <rPh sb="11" eb="13">
      <t>クギ</t>
    </rPh>
    <rPh sb="18" eb="20">
      <t>ヒョウジ</t>
    </rPh>
    <phoneticPr fontId="1"/>
  </si>
  <si>
    <t>・セル範囲「C5:I11」を選択する。</t>
    <rPh sb="3" eb="5">
      <t>ハンイ</t>
    </rPh>
    <rPh sb="14" eb="16">
      <t>センタク</t>
    </rPh>
    <phoneticPr fontId="1"/>
  </si>
  <si>
    <t>・《ホーム》タブ⇒《数値》グループの【，】《桁区切りスタイル》をクリックする。</t>
    <rPh sb="10" eb="12">
      <t>スウチ</t>
    </rPh>
    <rPh sb="22" eb="23">
      <t>ケタ</t>
    </rPh>
    <rPh sb="23" eb="25">
      <t>クギ</t>
    </rPh>
    <phoneticPr fontId="1"/>
  </si>
  <si>
    <t>売上構成比（％（パーセント）表示）</t>
    <rPh sb="0" eb="2">
      <t>ウリアゲ</t>
    </rPh>
    <rPh sb="2" eb="5">
      <t>コウセイヒ</t>
    </rPh>
    <rPh sb="14" eb="16">
      <t>ヒョウジ</t>
    </rPh>
    <phoneticPr fontId="1"/>
  </si>
  <si>
    <t>・セル範囲「J5:J10」を選択する。</t>
    <rPh sb="3" eb="5">
      <t>ハンイ</t>
    </rPh>
    <rPh sb="14" eb="16">
      <t>センタク</t>
    </rPh>
    <phoneticPr fontId="1"/>
  </si>
  <si>
    <t>・《ホーム》タブ⇒《数値》グループの【％】《パーセントスタイル》をクリックする。</t>
    <rPh sb="10" eb="12">
      <t>スウチ</t>
    </rPh>
    <phoneticPr fontId="1"/>
  </si>
  <si>
    <t>売上構成比（小数点以下の表示）</t>
    <rPh sb="0" eb="2">
      <t>ウリアゲ</t>
    </rPh>
    <rPh sb="2" eb="5">
      <t>コウセイヒ</t>
    </rPh>
    <rPh sb="6" eb="9">
      <t>ショウスウテン</t>
    </rPh>
    <rPh sb="9" eb="11">
      <t>イカ</t>
    </rPh>
    <rPh sb="12" eb="14">
      <t>ヒョウジ</t>
    </rPh>
    <phoneticPr fontId="1"/>
  </si>
  <si>
    <t>・《ホーム》タブ⇒《数値》グループの【←0.00】《小数点以下の表示桁数を増やす》をクリックする。</t>
    <rPh sb="10" eb="12">
      <t>スウチ</t>
    </rPh>
    <rPh sb="26" eb="29">
      <t>ショウスウテン</t>
    </rPh>
    <rPh sb="29" eb="31">
      <t>イカ</t>
    </rPh>
    <rPh sb="32" eb="34">
      <t>ヒョウジ</t>
    </rPh>
    <rPh sb="34" eb="36">
      <t>ケタスウ</t>
    </rPh>
    <rPh sb="37" eb="38">
      <t>フ</t>
    </rPh>
    <phoneticPr fontId="1"/>
  </si>
  <si>
    <t>　　小数第1位まで表示されます。（小数第2位が自動的に四捨五入されます）</t>
    <rPh sb="2" eb="4">
      <t>ショウスウ</t>
    </rPh>
    <rPh sb="4" eb="5">
      <t>ダイ</t>
    </rPh>
    <rPh sb="6" eb="7">
      <t>イ</t>
    </rPh>
    <rPh sb="9" eb="11">
      <t>ヒョウジ</t>
    </rPh>
    <rPh sb="17" eb="19">
      <t>ショウスウ</t>
    </rPh>
    <rPh sb="19" eb="20">
      <t>ダイ</t>
    </rPh>
    <rPh sb="21" eb="22">
      <t>イ</t>
    </rPh>
    <rPh sb="23" eb="26">
      <t>ジドウテキ</t>
    </rPh>
    <rPh sb="27" eb="31">
      <t>シシャゴニュウ</t>
    </rPh>
    <phoneticPr fontId="1"/>
  </si>
  <si>
    <t>⑫</t>
    <phoneticPr fontId="1"/>
  </si>
  <si>
    <t>４行目項目名（セル内の配置（中央揃え））</t>
    <rPh sb="1" eb="3">
      <t>ギョウメ</t>
    </rPh>
    <rPh sb="3" eb="5">
      <t>コウモク</t>
    </rPh>
    <rPh sb="5" eb="6">
      <t>メイ</t>
    </rPh>
    <rPh sb="9" eb="10">
      <t>ナイ</t>
    </rPh>
    <rPh sb="11" eb="13">
      <t>ハイチ</t>
    </rPh>
    <rPh sb="14" eb="16">
      <t>チュウオウ</t>
    </rPh>
    <rPh sb="16" eb="17">
      <t>ゾロ</t>
    </rPh>
    <phoneticPr fontId="1"/>
  </si>
  <si>
    <t>・セル範囲「C4:J4」を選択する。</t>
    <rPh sb="3" eb="5">
      <t>ハンイ</t>
    </rPh>
    <rPh sb="13" eb="15">
      <t>センタク</t>
    </rPh>
    <phoneticPr fontId="1"/>
  </si>
  <si>
    <t>・《ホーム》タブ⇒《配置》グループの《中央揃え》をクリックする。</t>
    <rPh sb="10" eb="12">
      <t>ハイチ</t>
    </rPh>
    <rPh sb="19" eb="21">
      <t>チュウオウ</t>
    </rPh>
    <rPh sb="21" eb="22">
      <t>ソロ</t>
    </rPh>
    <phoneticPr fontId="1"/>
  </si>
  <si>
    <t>⑬</t>
    <phoneticPr fontId="1"/>
  </si>
  <si>
    <t>B列項目名（セルを結合して中央揃え）</t>
    <rPh sb="1" eb="2">
      <t>レツ</t>
    </rPh>
    <rPh sb="2" eb="4">
      <t>コウモク</t>
    </rPh>
    <rPh sb="4" eb="5">
      <t>ナ</t>
    </rPh>
    <rPh sb="9" eb="11">
      <t>ケツゴウ</t>
    </rPh>
    <rPh sb="13" eb="15">
      <t>チュウオウ</t>
    </rPh>
    <rPh sb="15" eb="16">
      <t>ソロ</t>
    </rPh>
    <phoneticPr fontId="1"/>
  </si>
  <si>
    <t>・セル範囲「B2:J2」を選択する。</t>
    <rPh sb="3" eb="5">
      <t>ハンイ</t>
    </rPh>
    <rPh sb="13" eb="15">
      <t>センタク</t>
    </rPh>
    <phoneticPr fontId="1"/>
  </si>
  <si>
    <t>・《ホーム》タブ⇒《配置》グループの《セルを結合して中央揃え》をクリックする。</t>
    <rPh sb="10" eb="12">
      <t>ハイチ</t>
    </rPh>
    <rPh sb="22" eb="24">
      <t>ケツゴウ</t>
    </rPh>
    <rPh sb="26" eb="28">
      <t>チュウオウ</t>
    </rPh>
    <rPh sb="28" eb="29">
      <t>ゾロ</t>
    </rPh>
    <phoneticPr fontId="1"/>
  </si>
  <si>
    <t>⑭</t>
    <phoneticPr fontId="1"/>
  </si>
  <si>
    <t>列幅の変更（初期設定の列幅（8.38文字分）を変更する）</t>
    <rPh sb="0" eb="2">
      <t>レツハバ</t>
    </rPh>
    <rPh sb="3" eb="5">
      <t>ヘンコウ</t>
    </rPh>
    <rPh sb="6" eb="8">
      <t>ショキ</t>
    </rPh>
    <rPh sb="8" eb="10">
      <t>セッテイ</t>
    </rPh>
    <rPh sb="11" eb="13">
      <t>レツハバ</t>
    </rPh>
    <rPh sb="18" eb="21">
      <t>モジブン</t>
    </rPh>
    <rPh sb="23" eb="25">
      <t>ヘンコウ</t>
    </rPh>
    <phoneticPr fontId="1"/>
  </si>
  <si>
    <t>・列番号「C」から列番号「H」をドラッグする。</t>
    <rPh sb="1" eb="4">
      <t>レツバンゴウ</t>
    </rPh>
    <rPh sb="9" eb="12">
      <t>レツバンゴウ</t>
    </rPh>
    <phoneticPr fontId="1"/>
  </si>
  <si>
    <t>・選択した列を右クリックする。</t>
    <rPh sb="1" eb="3">
      <t>センタク</t>
    </rPh>
    <rPh sb="5" eb="6">
      <t>レツ</t>
    </rPh>
    <rPh sb="7" eb="8">
      <t>ミギ</t>
    </rPh>
    <phoneticPr fontId="1"/>
  </si>
  <si>
    <t>・メニューより、《列の幅》をクリックする。</t>
    <rPh sb="9" eb="10">
      <t>レツ</t>
    </rPh>
    <rPh sb="11" eb="12">
      <t>ハバ</t>
    </rPh>
    <phoneticPr fontId="1"/>
  </si>
  <si>
    <t>・《列幅》ダイアログボックスの《列幅》に「６」を入力し、《OK》をクリックする。</t>
    <rPh sb="2" eb="4">
      <t>レツハバ</t>
    </rPh>
    <rPh sb="16" eb="18">
      <t>レツハバ</t>
    </rPh>
    <rPh sb="24" eb="26">
      <t>ニュウリョク</t>
    </rPh>
    <phoneticPr fontId="1"/>
  </si>
  <si>
    <t>・同様に、A列の列幅を「３」に変更する。</t>
    <rPh sb="1" eb="3">
      <t>ドウヨウ</t>
    </rPh>
    <rPh sb="6" eb="7">
      <t>レツ</t>
    </rPh>
    <rPh sb="8" eb="10">
      <t>レツハバ</t>
    </rPh>
    <rPh sb="15" eb="17">
      <t>ヘンコウ</t>
    </rPh>
    <phoneticPr fontId="1"/>
  </si>
  <si>
    <t>⑮</t>
    <phoneticPr fontId="1"/>
  </si>
  <si>
    <t>列幅の自動調整（J列の列幅を「売上構成比」に合わせて、自動調整する）</t>
    <rPh sb="0" eb="2">
      <t>レツハバ</t>
    </rPh>
    <rPh sb="3" eb="5">
      <t>ジドウ</t>
    </rPh>
    <rPh sb="5" eb="7">
      <t>チョウセイ</t>
    </rPh>
    <rPh sb="9" eb="10">
      <t>レツ</t>
    </rPh>
    <rPh sb="11" eb="13">
      <t>レツハバ</t>
    </rPh>
    <rPh sb="15" eb="17">
      <t>ウリアゲ</t>
    </rPh>
    <rPh sb="17" eb="20">
      <t>コウセイヒ</t>
    </rPh>
    <rPh sb="22" eb="23">
      <t>ア</t>
    </rPh>
    <rPh sb="27" eb="29">
      <t>ジドウ</t>
    </rPh>
    <rPh sb="29" eb="31">
      <t>チョウセイ</t>
    </rPh>
    <phoneticPr fontId="1"/>
  </si>
  <si>
    <t>・列番号「J」の右側の境界戦をポイント※３（カーソルを合わせる）する。</t>
    <rPh sb="1" eb="4">
      <t>レツバンゴウ</t>
    </rPh>
    <rPh sb="8" eb="10">
      <t>ミギガワ</t>
    </rPh>
    <rPh sb="11" eb="13">
      <t>キョウカイ</t>
    </rPh>
    <rPh sb="13" eb="14">
      <t>セン</t>
    </rPh>
    <rPh sb="27" eb="28">
      <t>ア</t>
    </rPh>
    <phoneticPr fontId="1"/>
  </si>
  <si>
    <t>　（※３：マウスポインターが「←|→」に変わります。）</t>
    <phoneticPr fontId="1"/>
  </si>
  <si>
    <t>・ダブルクリックする。</t>
    <phoneticPr fontId="1"/>
  </si>
  <si>
    <t>・同様に、B列の列幅を自動調整する。</t>
    <rPh sb="1" eb="3">
      <t>ドウヨウ</t>
    </rPh>
    <rPh sb="6" eb="7">
      <t>レツ</t>
    </rPh>
    <rPh sb="8" eb="10">
      <t>レツハバ</t>
    </rPh>
    <rPh sb="11" eb="13">
      <t>ジドウ</t>
    </rPh>
    <rPh sb="13" eb="15">
      <t>チョウセイ</t>
    </rPh>
    <phoneticPr fontId="1"/>
  </si>
  <si>
    <t>行挿入</t>
    <rPh sb="0" eb="1">
      <t>ギョウ</t>
    </rPh>
    <rPh sb="1" eb="3">
      <t>ソウニュウ</t>
    </rPh>
    <phoneticPr fontId="1"/>
  </si>
  <si>
    <t>・行番号９を右クリックする。</t>
    <rPh sb="1" eb="4">
      <t>ギョウバンゴウ</t>
    </rPh>
    <rPh sb="6" eb="7">
      <t>ミギ</t>
    </rPh>
    <phoneticPr fontId="1"/>
  </si>
  <si>
    <t>・メニューより、《挿入》をクリックする。</t>
    <rPh sb="9" eb="11">
      <t>ソウニュウ</t>
    </rPh>
    <phoneticPr fontId="1"/>
  </si>
  <si>
    <t>・挿入した行に、以下のデータを入力する。</t>
    <rPh sb="1" eb="3">
      <t>ソウニュウ</t>
    </rPh>
    <rPh sb="5" eb="6">
      <t>ギョウ</t>
    </rPh>
    <rPh sb="8" eb="10">
      <t>イカ</t>
    </rPh>
    <rPh sb="15" eb="17">
      <t>ニュウリョク</t>
    </rPh>
    <phoneticPr fontId="1"/>
  </si>
  <si>
    <t>セル「B9」</t>
    <phoneticPr fontId="1"/>
  </si>
  <si>
    <t>DVD</t>
    <phoneticPr fontId="1"/>
  </si>
  <si>
    <t>セル「C9」</t>
    <phoneticPr fontId="1"/>
  </si>
  <si>
    <t>セル「D9」</t>
    <phoneticPr fontId="1"/>
  </si>
  <si>
    <t>セル「E9」</t>
    <phoneticPr fontId="1"/>
  </si>
  <si>
    <t>セル「F9」</t>
    <phoneticPr fontId="1"/>
  </si>
  <si>
    <t>セル「G9」</t>
    <phoneticPr fontId="1"/>
  </si>
  <si>
    <t>セル「H9」</t>
    <phoneticPr fontId="1"/>
  </si>
  <si>
    <t>※「下期合計」「売上構成比」には自動的に計算結果が表示されること</t>
    <rPh sb="2" eb="4">
      <t>シモキ</t>
    </rPh>
    <rPh sb="4" eb="6">
      <t>ゴウケイ</t>
    </rPh>
    <rPh sb="8" eb="10">
      <t>ウリアゲ</t>
    </rPh>
    <rPh sb="10" eb="13">
      <t>コウセイヒ</t>
    </rPh>
    <rPh sb="16" eb="19">
      <t>ジドウテキ</t>
    </rPh>
    <rPh sb="20" eb="22">
      <t>ケイサン</t>
    </rPh>
    <rPh sb="22" eb="24">
      <t>ケッカ</t>
    </rPh>
    <rPh sb="25" eb="27">
      <t>ヒョウジ</t>
    </rPh>
    <phoneticPr fontId="1"/>
  </si>
  <si>
    <t>※「合計」「平均」の数式にて自動的に再計算すること</t>
    <rPh sb="2" eb="4">
      <t>ゴウケイ</t>
    </rPh>
    <rPh sb="6" eb="8">
      <t>ヘイキン</t>
    </rPh>
    <rPh sb="10" eb="12">
      <t>スウシキ</t>
    </rPh>
    <rPh sb="14" eb="16">
      <t>ジドウ</t>
    </rPh>
    <rPh sb="16" eb="17">
      <t>テキ</t>
    </rPh>
    <rPh sb="18" eb="21">
      <t>サイケイサン</t>
    </rPh>
    <phoneticPr fontId="1"/>
  </si>
  <si>
    <t>⑰</t>
    <phoneticPr fontId="1"/>
  </si>
  <si>
    <t>上書き保存し、終了する。</t>
    <rPh sb="0" eb="2">
      <t>ウワガ</t>
    </rPh>
    <rPh sb="3" eb="5">
      <t>ホゾン</t>
    </rPh>
    <rPh sb="7" eb="9">
      <t>シュウリョウ</t>
    </rPh>
    <phoneticPr fontId="1"/>
  </si>
  <si>
    <t>［問題２作成手順］</t>
    <rPh sb="1" eb="3">
      <t>モンダイ</t>
    </rPh>
    <rPh sb="4" eb="6">
      <t>サクセイ</t>
    </rPh>
    <rPh sb="6" eb="8">
      <t>テジュン</t>
    </rPh>
    <phoneticPr fontId="1"/>
  </si>
  <si>
    <r>
      <rPr>
        <b/>
        <sz val="14"/>
        <color rgb="FF0000FF"/>
        <rFont val="游ゴシック"/>
        <family val="3"/>
        <charset val="128"/>
        <scheme val="minor"/>
      </rPr>
      <t>問題２のシートを使用</t>
    </r>
    <r>
      <rPr>
        <sz val="11"/>
        <color theme="1"/>
        <rFont val="游ゴシック"/>
        <family val="2"/>
        <charset val="128"/>
        <scheme val="minor"/>
      </rPr>
      <t>し、以下の手順にて、完成見本の「池袋店ワイン売上　円グラフ」を作成せよ。</t>
    </r>
    <rPh sb="0" eb="2">
      <t>モンダイ</t>
    </rPh>
    <rPh sb="8" eb="10">
      <t>シヨウ</t>
    </rPh>
    <rPh sb="12" eb="14">
      <t>イカ</t>
    </rPh>
    <rPh sb="15" eb="17">
      <t>テジュン</t>
    </rPh>
    <rPh sb="20" eb="22">
      <t>カンセイ</t>
    </rPh>
    <rPh sb="22" eb="24">
      <t>ミホン</t>
    </rPh>
    <rPh sb="26" eb="29">
      <t>イケブクロテン</t>
    </rPh>
    <rPh sb="32" eb="34">
      <t>ウリアゲ</t>
    </rPh>
    <rPh sb="35" eb="36">
      <t>エン</t>
    </rPh>
    <rPh sb="41" eb="43">
      <t>サクセイ</t>
    </rPh>
    <phoneticPr fontId="1"/>
  </si>
  <si>
    <t>円グラフの作成</t>
    <rPh sb="0" eb="1">
      <t>エン</t>
    </rPh>
    <rPh sb="5" eb="7">
      <t>サクセイ</t>
    </rPh>
    <phoneticPr fontId="1"/>
  </si>
  <si>
    <t>・セル範囲「B4:B7」を選択する。</t>
    <rPh sb="3" eb="5">
      <t>ハンイ</t>
    </rPh>
    <rPh sb="13" eb="15">
      <t>センタク</t>
    </rPh>
    <phoneticPr fontId="1"/>
  </si>
  <si>
    <t>・『ctrl』を押しながら、セル範囲「F4:F7」を選択する。</t>
    <rPh sb="8" eb="9">
      <t>オ</t>
    </rPh>
    <rPh sb="16" eb="18">
      <t>ハンイ</t>
    </rPh>
    <rPh sb="26" eb="28">
      <t>センタク</t>
    </rPh>
    <phoneticPr fontId="1"/>
  </si>
  <si>
    <t>・《挿入》タブ⇒《グラフ》グループの（円またはドーナツグラフの挿入）をクリックする。</t>
    <rPh sb="2" eb="4">
      <t>ソウニュウ</t>
    </rPh>
    <rPh sb="19" eb="20">
      <t>エン</t>
    </rPh>
    <rPh sb="31" eb="33">
      <t>ソウニュウ</t>
    </rPh>
    <phoneticPr fontId="1"/>
  </si>
  <si>
    <t>・《2-D円》の《円》をクリックする。</t>
    <rPh sb="5" eb="6">
      <t>エン</t>
    </rPh>
    <rPh sb="9" eb="10">
      <t>エン</t>
    </rPh>
    <phoneticPr fontId="1"/>
  </si>
  <si>
    <t>グラフタイトルの入力</t>
    <rPh sb="8" eb="10">
      <t>ニュウリョク</t>
    </rPh>
    <phoneticPr fontId="1"/>
  </si>
  <si>
    <t>・グラフをクリックする。</t>
    <phoneticPr fontId="1"/>
  </si>
  <si>
    <t>・グラフタイトルをクリックする。</t>
    <phoneticPr fontId="1"/>
  </si>
  <si>
    <t>・「グラフタイトル」を削除し、「池袋店ワイン売上」を入力する。</t>
    <rPh sb="11" eb="13">
      <t>サクジョ</t>
    </rPh>
    <rPh sb="16" eb="18">
      <t>イケブクロ</t>
    </rPh>
    <rPh sb="18" eb="19">
      <t>テン</t>
    </rPh>
    <rPh sb="22" eb="24">
      <t>ウリアゲ</t>
    </rPh>
    <rPh sb="26" eb="28">
      <t>ニュウリョク</t>
    </rPh>
    <phoneticPr fontId="1"/>
  </si>
  <si>
    <t>グラフの移動</t>
    <rPh sb="4" eb="6">
      <t>イドウ</t>
    </rPh>
    <phoneticPr fontId="1"/>
  </si>
  <si>
    <t>・グラフが選択されていることを確認し、見本の位置に移動する。</t>
    <rPh sb="5" eb="7">
      <t>センタク</t>
    </rPh>
    <rPh sb="15" eb="17">
      <t>カクニン</t>
    </rPh>
    <rPh sb="19" eb="21">
      <t>ミホン</t>
    </rPh>
    <rPh sb="22" eb="24">
      <t>イチ</t>
    </rPh>
    <rPh sb="25" eb="27">
      <t>イドウ</t>
    </rPh>
    <phoneticPr fontId="1"/>
  </si>
  <si>
    <t>　（目安：セル「C10」）</t>
    <rPh sb="2" eb="4">
      <t>メヤス</t>
    </rPh>
    <phoneticPr fontId="1"/>
  </si>
  <si>
    <t>グラフのサイズ変更</t>
    <rPh sb="7" eb="9">
      <t>ヘンコウ</t>
    </rPh>
    <phoneticPr fontId="1"/>
  </si>
  <si>
    <t>・グラフが選択されていることを確認する。</t>
    <rPh sb="5" eb="7">
      <t>センタク</t>
    </rPh>
    <rPh sb="15" eb="17">
      <t>カクニン</t>
    </rPh>
    <phoneticPr fontId="1"/>
  </si>
  <si>
    <t>・グラフエリアの右下をポイントし、見本の位置にサイズ変更する。</t>
    <rPh sb="8" eb="10">
      <t>ミギシタ</t>
    </rPh>
    <rPh sb="17" eb="19">
      <t>ミホン</t>
    </rPh>
    <rPh sb="20" eb="22">
      <t>イチ</t>
    </rPh>
    <rPh sb="26" eb="28">
      <t>ヘンコウ</t>
    </rPh>
    <phoneticPr fontId="1"/>
  </si>
  <si>
    <t>　（目安：セル「F19」）</t>
    <rPh sb="2" eb="4">
      <t>メヤス</t>
    </rPh>
    <phoneticPr fontId="1"/>
  </si>
  <si>
    <t>グラフのスタイルの適用</t>
    <rPh sb="9" eb="11">
      <t>テキヨウ</t>
    </rPh>
    <phoneticPr fontId="1"/>
  </si>
  <si>
    <t>・《デザイン》タブ⇒《グラフスタイル》グループの（その他）をクリックする。</t>
    <rPh sb="27" eb="28">
      <t>タ</t>
    </rPh>
    <phoneticPr fontId="1"/>
  </si>
  <si>
    <t>・《スタイル３》をクリックする。</t>
    <phoneticPr fontId="1"/>
  </si>
  <si>
    <t>・円の部分をクリックする。</t>
    <rPh sb="1" eb="2">
      <t>エン</t>
    </rPh>
    <rPh sb="3" eb="5">
      <t>ブブン</t>
    </rPh>
    <phoneticPr fontId="1"/>
  </si>
  <si>
    <t>・切り離したい部分（扇型）をクリックする。</t>
    <rPh sb="1" eb="2">
      <t>キ</t>
    </rPh>
    <rPh sb="3" eb="4">
      <t>ハナ</t>
    </rPh>
    <rPh sb="7" eb="9">
      <t>ブブン</t>
    </rPh>
    <rPh sb="10" eb="11">
      <t>オオギ</t>
    </rPh>
    <rPh sb="11" eb="12">
      <t>ガタ</t>
    </rPh>
    <phoneticPr fontId="1"/>
  </si>
  <si>
    <t>・円の外側にドラッグする。</t>
    <rPh sb="1" eb="2">
      <t>エン</t>
    </rPh>
    <rPh sb="3" eb="5">
      <t>ソトガワ</t>
    </rPh>
    <phoneticPr fontId="1"/>
  </si>
  <si>
    <t>［問題３作成手順］</t>
    <rPh sb="1" eb="3">
      <t>モンダイ</t>
    </rPh>
    <rPh sb="4" eb="6">
      <t>サクセイ</t>
    </rPh>
    <rPh sb="6" eb="8">
      <t>テジュン</t>
    </rPh>
    <phoneticPr fontId="1"/>
  </si>
  <si>
    <r>
      <rPr>
        <b/>
        <u/>
        <sz val="14"/>
        <color rgb="FFFF0000"/>
        <rFont val="游ゴシック"/>
        <family val="3"/>
        <charset val="128"/>
        <scheme val="minor"/>
      </rPr>
      <t>問題２のシートを使用</t>
    </r>
    <r>
      <rPr>
        <sz val="11"/>
        <color theme="1"/>
        <rFont val="游ゴシック"/>
        <family val="2"/>
        <charset val="128"/>
        <scheme val="minor"/>
      </rPr>
      <t>し、以下の手順にて、完成見本の「店舗別売上」を別シート「</t>
    </r>
    <r>
      <rPr>
        <b/>
        <sz val="11"/>
        <color rgb="FF0000FF"/>
        <rFont val="游ゴシック"/>
        <family val="3"/>
        <charset val="128"/>
        <scheme val="minor"/>
      </rPr>
      <t>Graph1</t>
    </r>
    <r>
      <rPr>
        <sz val="11"/>
        <color theme="1"/>
        <rFont val="游ゴシック"/>
        <family val="2"/>
        <charset val="128"/>
        <scheme val="minor"/>
      </rPr>
      <t>」に作成せよ。</t>
    </r>
    <rPh sb="0" eb="2">
      <t>モンダイ</t>
    </rPh>
    <rPh sb="8" eb="10">
      <t>シヨウ</t>
    </rPh>
    <rPh sb="12" eb="14">
      <t>イカ</t>
    </rPh>
    <rPh sb="15" eb="17">
      <t>テジュン</t>
    </rPh>
    <rPh sb="20" eb="22">
      <t>カンセイ</t>
    </rPh>
    <rPh sb="22" eb="24">
      <t>ミホン</t>
    </rPh>
    <rPh sb="26" eb="28">
      <t>テンポ</t>
    </rPh>
    <rPh sb="28" eb="29">
      <t>ベツ</t>
    </rPh>
    <rPh sb="29" eb="31">
      <t>ウリアゲ</t>
    </rPh>
    <rPh sb="33" eb="34">
      <t>ベツ</t>
    </rPh>
    <rPh sb="46" eb="48">
      <t>サクセイ</t>
    </rPh>
    <phoneticPr fontId="1"/>
  </si>
  <si>
    <t>縦棒グラフの作成</t>
    <rPh sb="0" eb="2">
      <t>タテボウ</t>
    </rPh>
    <rPh sb="6" eb="8">
      <t>サクセイ</t>
    </rPh>
    <phoneticPr fontId="1"/>
  </si>
  <si>
    <t>・セル範囲「B3:F7」を選択する。</t>
    <rPh sb="3" eb="5">
      <t>ハンイ</t>
    </rPh>
    <rPh sb="13" eb="15">
      <t>センタク</t>
    </rPh>
    <phoneticPr fontId="1"/>
  </si>
  <si>
    <t>・《挿入》タブ⇒《グラフ》グループの（縦棒/横棒グラフの挿入）をクリックする。</t>
    <rPh sb="2" eb="4">
      <t>ソウニュウ</t>
    </rPh>
    <rPh sb="19" eb="20">
      <t>タテ</t>
    </rPh>
    <rPh sb="20" eb="21">
      <t>ボウ</t>
    </rPh>
    <rPh sb="22" eb="23">
      <t>ヨコ</t>
    </rPh>
    <rPh sb="23" eb="24">
      <t>ボウ</t>
    </rPh>
    <rPh sb="28" eb="30">
      <t>ソウニュウ</t>
    </rPh>
    <phoneticPr fontId="1"/>
  </si>
  <si>
    <t>・《2-D縦棒》の《集合縦棒》をクリックする。</t>
    <rPh sb="5" eb="7">
      <t>タテボウ</t>
    </rPh>
    <rPh sb="10" eb="12">
      <t>シュウゴウ</t>
    </rPh>
    <rPh sb="12" eb="14">
      <t>タテボウ</t>
    </rPh>
    <phoneticPr fontId="1"/>
  </si>
  <si>
    <t>・「グラフタイトル」を削除し、「店舗別売上」を入力する。</t>
    <rPh sb="11" eb="13">
      <t>サクジョ</t>
    </rPh>
    <rPh sb="16" eb="18">
      <t>テンポ</t>
    </rPh>
    <rPh sb="18" eb="19">
      <t>ベツ</t>
    </rPh>
    <rPh sb="19" eb="21">
      <t>ウリアゲ</t>
    </rPh>
    <rPh sb="23" eb="25">
      <t>ニュウリョク</t>
    </rPh>
    <phoneticPr fontId="1"/>
  </si>
  <si>
    <t>グラフの場所の変更</t>
    <rPh sb="4" eb="6">
      <t>バショ</t>
    </rPh>
    <rPh sb="7" eb="9">
      <t>ヘンコウ</t>
    </rPh>
    <phoneticPr fontId="1"/>
  </si>
  <si>
    <t>・《デザイン》タブ⇒《場所》グループの（グラフの移動）をクリックする。</t>
    <rPh sb="11" eb="13">
      <t>バショ</t>
    </rPh>
    <rPh sb="24" eb="26">
      <t>イドウ</t>
    </rPh>
    <phoneticPr fontId="1"/>
  </si>
  <si>
    <t>・《グラフの移動》ダイアログボックスの《新しいシート》を選択し、《OK》をクリックする。</t>
    <rPh sb="6" eb="8">
      <t>イドウ</t>
    </rPh>
    <rPh sb="20" eb="21">
      <t>アタラ</t>
    </rPh>
    <rPh sb="28" eb="30">
      <t>センタク</t>
    </rPh>
    <phoneticPr fontId="1"/>
  </si>
  <si>
    <t>　※新しいシートの入力フィールドには、「Graph1」と記載していなければ、変更する。</t>
    <rPh sb="2" eb="3">
      <t>アタラ</t>
    </rPh>
    <rPh sb="9" eb="11">
      <t>ニュウリョク</t>
    </rPh>
    <rPh sb="28" eb="30">
      <t>キサイ</t>
    </rPh>
    <rPh sb="38" eb="40">
      <t>ヘンコウ</t>
    </rPh>
    <phoneticPr fontId="1"/>
  </si>
  <si>
    <t>　※新しいシート「Graph1」が挿入され、グラフの場所が移動します。</t>
    <rPh sb="2" eb="3">
      <t>アタラ</t>
    </rPh>
    <rPh sb="17" eb="19">
      <t>ソウニュウ</t>
    </rPh>
    <rPh sb="26" eb="28">
      <t>バショ</t>
    </rPh>
    <rPh sb="29" eb="31">
      <t>イドウ</t>
    </rPh>
    <phoneticPr fontId="1"/>
  </si>
  <si>
    <t>グラフ要素の変更</t>
    <rPh sb="3" eb="5">
      <t>ヨウソ</t>
    </rPh>
    <rPh sb="6" eb="8">
      <t>ヘンコウ</t>
    </rPh>
    <phoneticPr fontId="1"/>
  </si>
  <si>
    <t>・《デザイン》タブ⇒《グラフのレイアウト》グループの（グラフ要素を追加）をクリックする。</t>
    <rPh sb="30" eb="32">
      <t>ヨウソ</t>
    </rPh>
    <rPh sb="33" eb="35">
      <t>ツイカ</t>
    </rPh>
    <phoneticPr fontId="1"/>
  </si>
  <si>
    <t>・《軸ラベル》⇒《第１縦軸》をクリックする。</t>
    <rPh sb="2" eb="3">
      <t>ジク</t>
    </rPh>
    <rPh sb="9" eb="10">
      <t>ダイ</t>
    </rPh>
    <rPh sb="11" eb="13">
      <t>タテジク</t>
    </rPh>
    <phoneticPr fontId="1"/>
  </si>
  <si>
    <t>・追加された縦軸ラベルをクリックする。</t>
    <rPh sb="1" eb="3">
      <t>ツイカ</t>
    </rPh>
    <rPh sb="6" eb="8">
      <t>タテジク</t>
    </rPh>
    <phoneticPr fontId="1"/>
  </si>
  <si>
    <t>・「軸ラベル」を削除し、「単位：千円」と入力する。</t>
    <rPh sb="2" eb="3">
      <t>ジク</t>
    </rPh>
    <rPh sb="8" eb="10">
      <t>サクジョ</t>
    </rPh>
    <rPh sb="13" eb="15">
      <t>タンイ</t>
    </rPh>
    <rPh sb="16" eb="18">
      <t>センエン</t>
    </rPh>
    <rPh sb="20" eb="22">
      <t>ニュウリョク</t>
    </rPh>
    <phoneticPr fontId="1"/>
  </si>
  <si>
    <t>軸ラベルの書式設定</t>
    <rPh sb="0" eb="1">
      <t>ジク</t>
    </rPh>
    <rPh sb="5" eb="7">
      <t>ショシキ</t>
    </rPh>
    <rPh sb="7" eb="9">
      <t>セッテイ</t>
    </rPh>
    <phoneticPr fontId="1"/>
  </si>
  <si>
    <t>・《軸ラベル》をクリックする。</t>
    <rPh sb="2" eb="3">
      <t>ジク</t>
    </rPh>
    <phoneticPr fontId="1"/>
  </si>
  <si>
    <t>・《ホーム》タブ⇒《配置》グループの（文字列の方向）をクリックする。</t>
    <rPh sb="10" eb="12">
      <t>ハイチ</t>
    </rPh>
    <rPh sb="19" eb="22">
      <t>モジレツ</t>
    </rPh>
    <rPh sb="23" eb="25">
      <t>ホウコウ</t>
    </rPh>
    <phoneticPr fontId="1"/>
  </si>
  <si>
    <t>・《横書き》をクリックする。</t>
    <rPh sb="2" eb="3">
      <t>ヨコ</t>
    </rPh>
    <rPh sb="3" eb="4">
      <t>カ</t>
    </rPh>
    <phoneticPr fontId="1"/>
  </si>
  <si>
    <t>　※軸ラベルが横書きに変更されます。</t>
    <rPh sb="2" eb="3">
      <t>ジク</t>
    </rPh>
    <rPh sb="7" eb="9">
      <t>ヨコガ</t>
    </rPh>
    <rPh sb="11" eb="13">
      <t>ヘンコウ</t>
    </rPh>
    <phoneticPr fontId="1"/>
  </si>
  <si>
    <t>・軸ラベルの枠線を見本の位置（左上）へドラッグする。</t>
    <rPh sb="1" eb="2">
      <t>ジク</t>
    </rPh>
    <rPh sb="6" eb="8">
      <t>ワクセン</t>
    </rPh>
    <rPh sb="9" eb="11">
      <t>ミホン</t>
    </rPh>
    <rPh sb="12" eb="14">
      <t>イチ</t>
    </rPh>
    <rPh sb="15" eb="16">
      <t>ヒダリ</t>
    </rPh>
    <rPh sb="16" eb="17">
      <t>ウエ</t>
    </rPh>
    <phoneticPr fontId="1"/>
  </si>
  <si>
    <t>・《値軸》を右クリックする。</t>
    <rPh sb="2" eb="3">
      <t>アタイ</t>
    </rPh>
    <rPh sb="3" eb="4">
      <t>ジク</t>
    </rPh>
    <rPh sb="6" eb="7">
      <t>ミギ</t>
    </rPh>
    <phoneticPr fontId="1"/>
  </si>
  <si>
    <t>・《軸の書式設定》をクリックする。</t>
    <rPh sb="2" eb="3">
      <t>ジク</t>
    </rPh>
    <rPh sb="4" eb="6">
      <t>ショシキ</t>
    </rPh>
    <rPh sb="6" eb="8">
      <t>セッテイ</t>
    </rPh>
    <phoneticPr fontId="1"/>
  </si>
  <si>
    <t>・《軸の書式設定》作業ウインドウが表示する。</t>
    <rPh sb="2" eb="3">
      <t>ジク</t>
    </rPh>
    <rPh sb="4" eb="6">
      <t>ショシキ</t>
    </rPh>
    <rPh sb="6" eb="8">
      <t>セッテイ</t>
    </rPh>
    <rPh sb="9" eb="11">
      <t>サギョウ</t>
    </rPh>
    <rPh sb="17" eb="19">
      <t>ヒョウジ</t>
    </rPh>
    <phoneticPr fontId="1"/>
  </si>
  <si>
    <t>・《軸のオプション》をクリックする。</t>
    <rPh sb="2" eb="3">
      <t>ジク</t>
    </rPh>
    <phoneticPr fontId="1"/>
  </si>
  <si>
    <t>・《単位》の《目盛》に「500」を入力する。</t>
    <rPh sb="2" eb="4">
      <t>タンイ</t>
    </rPh>
    <rPh sb="7" eb="9">
      <t>メモ</t>
    </rPh>
    <rPh sb="17" eb="19">
      <t>ニュウリョク</t>
    </rPh>
    <phoneticPr fontId="1"/>
  </si>
  <si>
    <t>　※メモリが「500」単位に変更されます。</t>
    <rPh sb="11" eb="13">
      <t>タンイ</t>
    </rPh>
    <rPh sb="14" eb="16">
      <t>ヘンコウ</t>
    </rPh>
    <phoneticPr fontId="1"/>
  </si>
  <si>
    <t>グラフフィルターの利用</t>
    <rPh sb="9" eb="11">
      <t>リヨウ</t>
    </rPh>
    <phoneticPr fontId="1"/>
  </si>
  <si>
    <t>・《グラフ書式コントロール》の（グラフフィルター）をクリックする。</t>
    <rPh sb="5" eb="7">
      <t>ショシキ</t>
    </rPh>
    <phoneticPr fontId="1"/>
  </si>
  <si>
    <t>　※グラフ内右上に表示される3つのコントロールボタンの３番目）</t>
    <rPh sb="5" eb="6">
      <t>ナイ</t>
    </rPh>
    <rPh sb="6" eb="8">
      <t>ミギウエ</t>
    </rPh>
    <rPh sb="9" eb="11">
      <t>ヒョウジ</t>
    </rPh>
    <rPh sb="28" eb="30">
      <t>バンメ</t>
    </rPh>
    <phoneticPr fontId="1"/>
  </si>
  <si>
    <t>・《値》をクリックする。</t>
    <rPh sb="2" eb="3">
      <t>アタイ</t>
    </rPh>
    <phoneticPr fontId="1"/>
  </si>
  <si>
    <t>・《系列》の「ロゼ」「スパークリング」を□にする。</t>
    <rPh sb="2" eb="4">
      <t>ケイレツ</t>
    </rPh>
    <phoneticPr fontId="1"/>
  </si>
  <si>
    <t>・「適用」をクリックする。</t>
    <rPh sb="2" eb="4">
      <t>テキヨウ</t>
    </rPh>
    <phoneticPr fontId="1"/>
  </si>
  <si>
    <t>　※「赤ワイン」「白ワイン」に絞り込まれています</t>
    <rPh sb="3" eb="4">
      <t>アカ</t>
    </rPh>
    <rPh sb="9" eb="10">
      <t>シロ</t>
    </rPh>
    <rPh sb="15" eb="16">
      <t>シボ</t>
    </rPh>
    <rPh sb="17" eb="18">
      <t>コ</t>
    </rPh>
    <phoneticPr fontId="1"/>
  </si>
  <si>
    <r>
      <t xml:space="preserve">［問題４作成手順］ </t>
    </r>
    <r>
      <rPr>
        <b/>
        <sz val="14"/>
        <color rgb="FFFF0000"/>
        <rFont val="游ゴシック"/>
        <family val="3"/>
        <charset val="128"/>
        <scheme val="minor"/>
      </rPr>
      <t>この問題は、細かい「作成手順」は記載していません。</t>
    </r>
    <rPh sb="1" eb="3">
      <t>モンダイ</t>
    </rPh>
    <rPh sb="4" eb="6">
      <t>サクセイ</t>
    </rPh>
    <rPh sb="6" eb="8">
      <t>テジュン</t>
    </rPh>
    <phoneticPr fontId="1"/>
  </si>
  <si>
    <t>［作成手順］</t>
    <rPh sb="1" eb="3">
      <t>サクセイ</t>
    </rPh>
    <rPh sb="3" eb="5">
      <t>テジュン</t>
    </rPh>
    <phoneticPr fontId="1"/>
  </si>
  <si>
    <r>
      <rPr>
        <b/>
        <sz val="14"/>
        <color rgb="FF0000FF"/>
        <rFont val="游ゴシック"/>
        <family val="3"/>
        <charset val="128"/>
        <scheme val="minor"/>
      </rPr>
      <t>問題４のシートを使用</t>
    </r>
    <r>
      <rPr>
        <sz val="11"/>
        <color theme="1"/>
        <rFont val="游ゴシック"/>
        <family val="2"/>
        <charset val="128"/>
        <scheme val="minor"/>
      </rPr>
      <t>し、見本の「ピボットテーブル」及び「ピボットグラフ」を別シート「</t>
    </r>
    <r>
      <rPr>
        <b/>
        <sz val="11"/>
        <color rgb="FF0000FF"/>
        <rFont val="游ゴシック"/>
        <family val="3"/>
        <charset val="128"/>
        <scheme val="minor"/>
      </rPr>
      <t>Sheet1</t>
    </r>
    <r>
      <rPr>
        <sz val="11"/>
        <color theme="1"/>
        <rFont val="游ゴシック"/>
        <family val="2"/>
        <charset val="128"/>
        <scheme val="minor"/>
      </rPr>
      <t>」に作成せよ。</t>
    </r>
    <rPh sb="0" eb="2">
      <t>モンダイ</t>
    </rPh>
    <rPh sb="8" eb="10">
      <t>シヨウ</t>
    </rPh>
    <rPh sb="12" eb="14">
      <t>ミホン</t>
    </rPh>
    <rPh sb="25" eb="26">
      <t>オヨ</t>
    </rPh>
    <rPh sb="37" eb="38">
      <t>ベツ</t>
    </rPh>
    <rPh sb="50" eb="52">
      <t>サクセイ</t>
    </rPh>
    <phoneticPr fontId="1"/>
  </si>
  <si>
    <t>［ピボットテーブルのヒント］</t>
    <phoneticPr fontId="1"/>
  </si>
  <si>
    <t>・《ピボットテーブル》タブ⇒《デザイン》⇒《ピボットテーブルスタイル》グループの（ピボットスタイル（中間）２）を使用。</t>
    <rPh sb="50" eb="52">
      <t>チュウカン</t>
    </rPh>
    <rPh sb="56" eb="58">
      <t>シヨウ</t>
    </rPh>
    <phoneticPr fontId="1"/>
  </si>
  <si>
    <t>［ピボットグラフのヒント］</t>
    <phoneticPr fontId="1"/>
  </si>
  <si>
    <t>・《ピボットテーブル》タブ⇒《デザイン》⇒《グラフスタイル》グループの（スタイル1）を使用。</t>
    <rPh sb="43" eb="45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</si>
</sst>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22"/>
      <color theme="0"/>
      <name val="Meiryo UI"/>
      <family val="3"/>
      <charset val="128"/>
    </font>
    <font>
      <sz val="14"/>
      <color rgb="FFFF0000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sz val="14"/>
      <color rgb="FF0000FF"/>
      <name val="Meiryo UI"/>
      <family val="3"/>
      <charset val="128"/>
    </font>
    <font>
      <sz val="11"/>
      <color rgb="FF00B050"/>
      <name val="Meiryo UI"/>
      <family val="3"/>
      <charset val="128"/>
    </font>
    <font>
      <sz val="12"/>
      <color rgb="FFFF000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rgb="FF0000FF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u/>
      <sz val="14"/>
      <color rgb="FFFF0000"/>
      <name val="游ゴシック"/>
      <family val="3"/>
      <charset val="128"/>
      <scheme val="minor"/>
    </font>
    <font>
      <b/>
      <sz val="11"/>
      <color rgb="FF0000FF"/>
      <name val="游ゴシック"/>
      <family val="3"/>
      <charset val="128"/>
      <scheme val="minor"/>
    </font>
    <font>
      <b/>
      <sz val="14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11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6" fillId="6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8" fillId="2" borderId="35" xfId="0" applyFont="1" applyFill="1" applyBorder="1">
      <alignment vertical="center"/>
    </xf>
    <xf numFmtId="0" fontId="0" fillId="2" borderId="36" xfId="0" applyFill="1" applyBorder="1">
      <alignment vertical="center"/>
    </xf>
    <xf numFmtId="0" fontId="0" fillId="2" borderId="37" xfId="0" applyFill="1" applyBorder="1">
      <alignment vertical="center"/>
    </xf>
    <xf numFmtId="0" fontId="0" fillId="0" borderId="38" xfId="0" applyBorder="1">
      <alignment vertical="center"/>
    </xf>
    <xf numFmtId="0" fontId="13" fillId="0" borderId="0" xfId="0" applyFont="1">
      <alignment vertical="center"/>
    </xf>
    <xf numFmtId="0" fontId="0" fillId="0" borderId="39" xfId="0" applyBorder="1">
      <alignment vertical="center"/>
    </xf>
    <xf numFmtId="0" fontId="5" fillId="0" borderId="0" xfId="0" applyFont="1">
      <alignment vertical="center"/>
    </xf>
    <xf numFmtId="0" fontId="15" fillId="0" borderId="0" xfId="0" applyFont="1">
      <alignment vertical="center"/>
    </xf>
    <xf numFmtId="0" fontId="0" fillId="0" borderId="38" xfId="0" applyBorder="1" applyAlignment="1">
      <alignment horizontal="right" vertical="center"/>
    </xf>
    <xf numFmtId="0" fontId="16" fillId="0" borderId="0" xfId="0" applyFont="1">
      <alignment vertical="center"/>
    </xf>
    <xf numFmtId="0" fontId="0" fillId="0" borderId="38" xfId="0" applyBorder="1" applyAlignment="1">
      <alignment horizontal="right"/>
    </xf>
    <xf numFmtId="0" fontId="0" fillId="0" borderId="0" xfId="0" applyAlignment="1">
      <alignment horizontal="left"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0" xfId="0" applyBorder="1" applyAlignment="1">
      <alignment horizontal="right" vertical="center"/>
    </xf>
    <xf numFmtId="0" fontId="12" fillId="2" borderId="36" xfId="0" applyFont="1" applyFill="1" applyBorder="1">
      <alignment vertical="center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121920</xdr:rowOff>
    </xdr:from>
    <xdr:to>
      <xdr:col>13</xdr:col>
      <xdr:colOff>472440</xdr:colOff>
      <xdr:row>25</xdr:row>
      <xdr:rowOff>35560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C0EA6E54-667C-467E-A777-9E057FB0E472}"/>
            </a:ext>
          </a:extLst>
        </xdr:cNvPr>
        <xdr:cNvGrpSpPr/>
      </xdr:nvGrpSpPr>
      <xdr:grpSpPr>
        <a:xfrm>
          <a:off x="687917" y="672253"/>
          <a:ext cx="8727440" cy="5480474"/>
          <a:chOff x="668867" y="672253"/>
          <a:chExt cx="8498840" cy="5188374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B02519E5-215F-EE7F-3B1A-E26F91F40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8867" y="1244600"/>
            <a:ext cx="8351108" cy="4038942"/>
          </a:xfrm>
          <a:prstGeom prst="rect">
            <a:avLst/>
          </a:prstGeom>
          <a:ln w="38100">
            <a:solidFill>
              <a:srgbClr val="0070C0"/>
            </a:solidFill>
          </a:ln>
        </xdr:spPr>
      </xdr:pic>
      <xdr:sp macro="" textlink="">
        <xdr:nvSpPr>
          <xdr:cNvPr id="4" name="右中かっこ 3">
            <a:extLst>
              <a:ext uri="{FF2B5EF4-FFF2-40B4-BE49-F238E27FC236}">
                <a16:creationId xmlns:a16="http://schemas.microsoft.com/office/drawing/2014/main" id="{EAC130B5-2D3A-1515-C76B-61621CC32B25}"/>
              </a:ext>
            </a:extLst>
          </xdr:cNvPr>
          <xdr:cNvSpPr/>
        </xdr:nvSpPr>
        <xdr:spPr>
          <a:xfrm rot="16200000">
            <a:off x="4354195" y="-2524548"/>
            <a:ext cx="293370" cy="7008706"/>
          </a:xfrm>
          <a:prstGeom prst="rightBrace">
            <a:avLst>
              <a:gd name="adj1" fmla="val 2179"/>
              <a:gd name="adj2" fmla="val 52386"/>
            </a:avLst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5" name="カギ線コネクタ 6">
            <a:extLst>
              <a:ext uri="{FF2B5EF4-FFF2-40B4-BE49-F238E27FC236}">
                <a16:creationId xmlns:a16="http://schemas.microsoft.com/office/drawing/2014/main" id="{3791C468-C514-9970-DC6E-D51AD645859A}"/>
              </a:ext>
            </a:extLst>
          </xdr:cNvPr>
          <xdr:cNvCxnSpPr/>
        </xdr:nvCxnSpPr>
        <xdr:spPr>
          <a:xfrm rot="10800000" flipV="1">
            <a:off x="6537960" y="672253"/>
            <a:ext cx="2157307" cy="1349587"/>
          </a:xfrm>
          <a:prstGeom prst="bentConnector3">
            <a:avLst>
              <a:gd name="adj1" fmla="val 13732"/>
            </a:avLst>
          </a:prstGeom>
          <a:ln w="25400">
            <a:solidFill>
              <a:srgbClr val="FF0000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右中かっこ 5">
            <a:extLst>
              <a:ext uri="{FF2B5EF4-FFF2-40B4-BE49-F238E27FC236}">
                <a16:creationId xmlns:a16="http://schemas.microsoft.com/office/drawing/2014/main" id="{5C048BA1-DD71-B1E6-DD49-2F7CC42CFF4B}"/>
              </a:ext>
            </a:extLst>
          </xdr:cNvPr>
          <xdr:cNvSpPr/>
        </xdr:nvSpPr>
        <xdr:spPr>
          <a:xfrm>
            <a:off x="8232140" y="2448560"/>
            <a:ext cx="935567" cy="2545926"/>
          </a:xfrm>
          <a:prstGeom prst="rightBrace">
            <a:avLst>
              <a:gd name="adj1" fmla="val 0"/>
              <a:gd name="adj2" fmla="val 47603"/>
            </a:avLst>
          </a:prstGeom>
          <a:ln w="158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CD676751-4624-57BD-6849-D815AE292708}"/>
              </a:ext>
            </a:extLst>
          </xdr:cNvPr>
          <xdr:cNvSpPr/>
        </xdr:nvSpPr>
        <xdr:spPr>
          <a:xfrm>
            <a:off x="2545080" y="2748280"/>
            <a:ext cx="4631267" cy="2340186"/>
          </a:xfrm>
          <a:prstGeom prst="rect">
            <a:avLst/>
          </a:prstGeom>
          <a:noFill/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L 字 7">
            <a:extLst>
              <a:ext uri="{FF2B5EF4-FFF2-40B4-BE49-F238E27FC236}">
                <a16:creationId xmlns:a16="http://schemas.microsoft.com/office/drawing/2014/main" id="{2F219B04-21FF-BB40-2F8D-63F2B599415F}"/>
              </a:ext>
            </a:extLst>
          </xdr:cNvPr>
          <xdr:cNvSpPr/>
        </xdr:nvSpPr>
        <xdr:spPr>
          <a:xfrm rot="5400000">
            <a:off x="3394711" y="278977"/>
            <a:ext cx="2690707" cy="6923193"/>
          </a:xfrm>
          <a:prstGeom prst="corner">
            <a:avLst>
              <a:gd name="adj1" fmla="val 45682"/>
              <a:gd name="adj2" fmla="val 11916"/>
            </a:avLst>
          </a:prstGeom>
          <a:noFill/>
          <a:ln w="254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02C2C4EA-E34E-58F7-3B98-99961039C80C}"/>
              </a:ext>
            </a:extLst>
          </xdr:cNvPr>
          <xdr:cNvCxnSpPr/>
        </xdr:nvCxnSpPr>
        <xdr:spPr>
          <a:xfrm flipV="1">
            <a:off x="1520613" y="5085928"/>
            <a:ext cx="0" cy="756073"/>
          </a:xfrm>
          <a:prstGeom prst="straightConnector1">
            <a:avLst/>
          </a:prstGeom>
          <a:ln w="25400">
            <a:solidFill>
              <a:srgbClr val="0000FF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右中かっこ 9">
            <a:extLst>
              <a:ext uri="{FF2B5EF4-FFF2-40B4-BE49-F238E27FC236}">
                <a16:creationId xmlns:a16="http://schemas.microsoft.com/office/drawing/2014/main" id="{BB33F1C9-4DF8-0E77-715D-FCA9ABC2E5C8}"/>
              </a:ext>
            </a:extLst>
          </xdr:cNvPr>
          <xdr:cNvSpPr/>
        </xdr:nvSpPr>
        <xdr:spPr>
          <a:xfrm rot="16200000">
            <a:off x="5187950" y="-626110"/>
            <a:ext cx="297180" cy="5638800"/>
          </a:xfrm>
          <a:prstGeom prst="rightBrace">
            <a:avLst>
              <a:gd name="adj1" fmla="val 2300"/>
              <a:gd name="adj2" fmla="val 5224"/>
            </a:avLst>
          </a:prstGeom>
          <a:ln w="254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7FDCD35D-CC86-601E-C0FC-8C03BD66ABB1}"/>
              </a:ext>
            </a:extLst>
          </xdr:cNvPr>
          <xdr:cNvCxnSpPr/>
        </xdr:nvCxnSpPr>
        <xdr:spPr>
          <a:xfrm flipV="1">
            <a:off x="2812627" y="833120"/>
            <a:ext cx="0" cy="1333500"/>
          </a:xfrm>
          <a:prstGeom prst="straightConnector1">
            <a:avLst/>
          </a:prstGeom>
          <a:ln w="25400">
            <a:solidFill>
              <a:srgbClr val="0000FF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72D14483-8FEB-FE23-8A93-C0A07DF517C5}"/>
              </a:ext>
            </a:extLst>
          </xdr:cNvPr>
          <xdr:cNvCxnSpPr>
            <a:endCxn id="7" idx="2"/>
          </xdr:cNvCxnSpPr>
        </xdr:nvCxnSpPr>
        <xdr:spPr>
          <a:xfrm flipH="1" flipV="1">
            <a:off x="4859867" y="5088467"/>
            <a:ext cx="5080" cy="772160"/>
          </a:xfrm>
          <a:prstGeom prst="straightConnector1">
            <a:avLst/>
          </a:prstGeom>
          <a:ln w="25400">
            <a:solidFill>
              <a:srgbClr val="FF0000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BD2A9A4B-43A9-DDA4-9D35-0A524619C791}"/>
              </a:ext>
            </a:extLst>
          </xdr:cNvPr>
          <xdr:cNvSpPr/>
        </xdr:nvSpPr>
        <xdr:spPr>
          <a:xfrm>
            <a:off x="2611120" y="4753187"/>
            <a:ext cx="4534747" cy="223520"/>
          </a:xfrm>
          <a:prstGeom prst="rect">
            <a:avLst/>
          </a:prstGeom>
          <a:noFill/>
          <a:ln w="254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4" name="カギ線コネクタ 29">
            <a:extLst>
              <a:ext uri="{FF2B5EF4-FFF2-40B4-BE49-F238E27FC236}">
                <a16:creationId xmlns:a16="http://schemas.microsoft.com/office/drawing/2014/main" id="{DFB21A79-CB91-5E6A-6EA3-610183767E29}"/>
              </a:ext>
            </a:extLst>
          </xdr:cNvPr>
          <xdr:cNvCxnSpPr>
            <a:stCxn id="13" idx="1"/>
          </xdr:cNvCxnSpPr>
        </xdr:nvCxnSpPr>
        <xdr:spPr>
          <a:xfrm rot="10800000" flipV="1">
            <a:off x="2204720" y="4864947"/>
            <a:ext cx="406400" cy="736600"/>
          </a:xfrm>
          <a:prstGeom prst="bentConnector2">
            <a:avLst/>
          </a:prstGeom>
          <a:ln w="25400">
            <a:solidFill>
              <a:srgbClr val="00B050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L 字 14">
            <a:extLst>
              <a:ext uri="{FF2B5EF4-FFF2-40B4-BE49-F238E27FC236}">
                <a16:creationId xmlns:a16="http://schemas.microsoft.com/office/drawing/2014/main" id="{39BBB9E0-FB0C-D598-83EA-10C3B0CF2397}"/>
              </a:ext>
            </a:extLst>
          </xdr:cNvPr>
          <xdr:cNvSpPr/>
        </xdr:nvSpPr>
        <xdr:spPr>
          <a:xfrm rot="5400000">
            <a:off x="3394711" y="276437"/>
            <a:ext cx="2690707" cy="6923193"/>
          </a:xfrm>
          <a:prstGeom prst="corner">
            <a:avLst>
              <a:gd name="adj1" fmla="val 45682"/>
              <a:gd name="adj2" fmla="val 11916"/>
            </a:avLst>
          </a:prstGeom>
          <a:noFill/>
          <a:ln w="254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L 字 15">
            <a:extLst>
              <a:ext uri="{FF2B5EF4-FFF2-40B4-BE49-F238E27FC236}">
                <a16:creationId xmlns:a16="http://schemas.microsoft.com/office/drawing/2014/main" id="{C076C1CE-24BF-91E9-D11A-3AD5B337C377}"/>
              </a:ext>
            </a:extLst>
          </xdr:cNvPr>
          <xdr:cNvSpPr/>
        </xdr:nvSpPr>
        <xdr:spPr>
          <a:xfrm rot="16200000">
            <a:off x="3921761" y="1457960"/>
            <a:ext cx="1893146" cy="4555067"/>
          </a:xfrm>
          <a:prstGeom prst="corner">
            <a:avLst>
              <a:gd name="adj1" fmla="val 40843"/>
              <a:gd name="adj2" fmla="val 10572"/>
            </a:avLst>
          </a:prstGeom>
          <a:noFill/>
          <a:ln w="254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5CFBEBF1-88E4-6871-34F6-371411F70CE5}"/>
              </a:ext>
            </a:extLst>
          </xdr:cNvPr>
          <xdr:cNvCxnSpPr/>
        </xdr:nvCxnSpPr>
        <xdr:spPr>
          <a:xfrm flipV="1">
            <a:off x="6527800" y="828040"/>
            <a:ext cx="0" cy="1955800"/>
          </a:xfrm>
          <a:prstGeom prst="straightConnector1">
            <a:avLst/>
          </a:prstGeom>
          <a:ln w="25400">
            <a:solidFill>
              <a:srgbClr val="0000FF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右中かっこ 17">
            <a:extLst>
              <a:ext uri="{FF2B5EF4-FFF2-40B4-BE49-F238E27FC236}">
                <a16:creationId xmlns:a16="http://schemas.microsoft.com/office/drawing/2014/main" id="{8C4E83FC-29AE-F37A-87D2-77DCD22F5A17}"/>
              </a:ext>
            </a:extLst>
          </xdr:cNvPr>
          <xdr:cNvSpPr/>
        </xdr:nvSpPr>
        <xdr:spPr>
          <a:xfrm rot="5400000">
            <a:off x="7560733" y="4732867"/>
            <a:ext cx="304800" cy="829733"/>
          </a:xfrm>
          <a:prstGeom prst="rightBrace">
            <a:avLst>
              <a:gd name="adj1" fmla="val 0"/>
              <a:gd name="adj2" fmla="val 48081"/>
            </a:avLst>
          </a:prstGeom>
          <a:ln w="254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1C309B34-5304-435A-DB5F-49965C2E0A87}"/>
              </a:ext>
            </a:extLst>
          </xdr:cNvPr>
          <xdr:cNvCxnSpPr/>
        </xdr:nvCxnSpPr>
        <xdr:spPr>
          <a:xfrm flipV="1">
            <a:off x="7728374" y="5156200"/>
            <a:ext cx="0" cy="677334"/>
          </a:xfrm>
          <a:prstGeom prst="straightConnector1">
            <a:avLst/>
          </a:prstGeom>
          <a:ln w="25400">
            <a:solidFill>
              <a:srgbClr val="0000FF"/>
            </a:solidFill>
            <a:headEnd type="none"/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25401</xdr:colOff>
      <xdr:row>35</xdr:row>
      <xdr:rowOff>33867</xdr:rowOff>
    </xdr:from>
    <xdr:to>
      <xdr:col>15</xdr:col>
      <xdr:colOff>42220</xdr:colOff>
      <xdr:row>63</xdr:row>
      <xdr:rowOff>16933</xdr:rowOff>
    </xdr:to>
    <xdr:grpSp>
      <xdr:nvGrpSpPr>
        <xdr:cNvPr id="20" name="グループ化 19">
          <a:extLst>
            <a:ext uri="{FF2B5EF4-FFF2-40B4-BE49-F238E27FC236}">
              <a16:creationId xmlns:a16="http://schemas.microsoft.com/office/drawing/2014/main" id="{A039D4C6-AEFA-4A75-8ACA-F4BA613CF3F3}"/>
            </a:ext>
          </a:extLst>
        </xdr:cNvPr>
        <xdr:cNvGrpSpPr/>
      </xdr:nvGrpSpPr>
      <xdr:grpSpPr>
        <a:xfrm>
          <a:off x="713318" y="8500534"/>
          <a:ext cx="9647652" cy="6788149"/>
          <a:chOff x="694268" y="27872267"/>
          <a:chExt cx="9380952" cy="6392333"/>
        </a:xfrm>
      </xdr:grpSpPr>
      <xdr:pic>
        <xdr:nvPicPr>
          <xdr:cNvPr id="21" name="図 20">
            <a:extLst>
              <a:ext uri="{FF2B5EF4-FFF2-40B4-BE49-F238E27FC236}">
                <a16:creationId xmlns:a16="http://schemas.microsoft.com/office/drawing/2014/main" id="{7BD71C7D-B667-AC5E-521D-C9CFF52F5D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94268" y="27872267"/>
            <a:ext cx="9380952" cy="6142857"/>
          </a:xfrm>
          <a:prstGeom prst="rect">
            <a:avLst/>
          </a:prstGeom>
        </xdr:spPr>
      </xdr:pic>
      <xdr:cxnSp macro="">
        <xdr:nvCxnSpPr>
          <xdr:cNvPr id="22" name="カギ線コネクタ 5">
            <a:extLst>
              <a:ext uri="{FF2B5EF4-FFF2-40B4-BE49-F238E27FC236}">
                <a16:creationId xmlns:a16="http://schemas.microsoft.com/office/drawing/2014/main" id="{1A52799D-1853-63B2-38AF-BC613339511E}"/>
              </a:ext>
            </a:extLst>
          </xdr:cNvPr>
          <xdr:cNvCxnSpPr/>
        </xdr:nvCxnSpPr>
        <xdr:spPr>
          <a:xfrm>
            <a:off x="6536267" y="31208133"/>
            <a:ext cx="3445933" cy="237067"/>
          </a:xfrm>
          <a:prstGeom prst="bentConnector3">
            <a:avLst>
              <a:gd name="adj1" fmla="val 50000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カギ線コネクタ 25">
            <a:extLst>
              <a:ext uri="{FF2B5EF4-FFF2-40B4-BE49-F238E27FC236}">
                <a16:creationId xmlns:a16="http://schemas.microsoft.com/office/drawing/2014/main" id="{0D8C095E-1A8D-4A1D-0283-B765BD7D4E06}"/>
              </a:ext>
            </a:extLst>
          </xdr:cNvPr>
          <xdr:cNvCxnSpPr/>
        </xdr:nvCxnSpPr>
        <xdr:spPr>
          <a:xfrm rot="5400000">
            <a:off x="1629835" y="32016701"/>
            <a:ext cx="2362200" cy="2065865"/>
          </a:xfrm>
          <a:prstGeom prst="bentConnector3">
            <a:avLst>
              <a:gd name="adj1" fmla="val 896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コネクタ 23">
            <a:extLst>
              <a:ext uri="{FF2B5EF4-FFF2-40B4-BE49-F238E27FC236}">
                <a16:creationId xmlns:a16="http://schemas.microsoft.com/office/drawing/2014/main" id="{B89225A8-7170-C874-0023-077C101B8042}"/>
              </a:ext>
            </a:extLst>
          </xdr:cNvPr>
          <xdr:cNvCxnSpPr/>
        </xdr:nvCxnSpPr>
        <xdr:spPr>
          <a:xfrm flipH="1">
            <a:off x="4453467" y="33333267"/>
            <a:ext cx="8466" cy="931333"/>
          </a:xfrm>
          <a:prstGeom prst="line">
            <a:avLst/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67</xdr:row>
      <xdr:rowOff>67731</xdr:rowOff>
    </xdr:from>
    <xdr:to>
      <xdr:col>16</xdr:col>
      <xdr:colOff>138428</xdr:colOff>
      <xdr:row>99</xdr:row>
      <xdr:rowOff>33867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DC83C707-D7F8-4C0D-B594-0F189DE87F8A}"/>
            </a:ext>
          </a:extLst>
        </xdr:cNvPr>
        <xdr:cNvGrpSpPr/>
      </xdr:nvGrpSpPr>
      <xdr:grpSpPr>
        <a:xfrm>
          <a:off x="687917" y="16376648"/>
          <a:ext cx="10457178" cy="7755469"/>
          <a:chOff x="668867" y="38210064"/>
          <a:chExt cx="10171428" cy="7257358"/>
        </a:xfrm>
      </xdr:grpSpPr>
      <xdr:pic>
        <xdr:nvPicPr>
          <xdr:cNvPr id="26" name="図 25">
            <a:extLst>
              <a:ext uri="{FF2B5EF4-FFF2-40B4-BE49-F238E27FC236}">
                <a16:creationId xmlns:a16="http://schemas.microsoft.com/office/drawing/2014/main" id="{EAA54A99-F232-EAD2-6069-73A2370AE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68867" y="38599533"/>
            <a:ext cx="10171428" cy="6723809"/>
          </a:xfrm>
          <a:prstGeom prst="rect">
            <a:avLst/>
          </a:prstGeom>
        </xdr:spPr>
      </xdr:pic>
      <xdr:cxnSp macro="">
        <xdr:nvCxnSpPr>
          <xdr:cNvPr id="27" name="カギ線コネクタ 33">
            <a:extLst>
              <a:ext uri="{FF2B5EF4-FFF2-40B4-BE49-F238E27FC236}">
                <a16:creationId xmlns:a16="http://schemas.microsoft.com/office/drawing/2014/main" id="{1FF7E8CE-65DB-5618-9FCF-CC109D0C71B1}"/>
              </a:ext>
            </a:extLst>
          </xdr:cNvPr>
          <xdr:cNvCxnSpPr/>
        </xdr:nvCxnSpPr>
        <xdr:spPr>
          <a:xfrm flipV="1">
            <a:off x="1693333" y="38210064"/>
            <a:ext cx="965200" cy="567266"/>
          </a:xfrm>
          <a:prstGeom prst="bentConnector3">
            <a:avLst>
              <a:gd name="adj1" fmla="val 877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カギ線コネクタ 38">
            <a:extLst>
              <a:ext uri="{FF2B5EF4-FFF2-40B4-BE49-F238E27FC236}">
                <a16:creationId xmlns:a16="http://schemas.microsoft.com/office/drawing/2014/main" id="{DAB11C8A-05EA-428A-BAAF-100C9AD3C373}"/>
              </a:ext>
            </a:extLst>
          </xdr:cNvPr>
          <xdr:cNvCxnSpPr/>
        </xdr:nvCxnSpPr>
        <xdr:spPr>
          <a:xfrm rot="5400000">
            <a:off x="-644190" y="43112035"/>
            <a:ext cx="4098359" cy="610557"/>
          </a:xfrm>
          <a:prstGeom prst="bentConnector3">
            <a:avLst>
              <a:gd name="adj1" fmla="val 267"/>
            </a:avLst>
          </a:prstGeom>
          <a:ln w="25400">
            <a:solidFill>
              <a:srgbClr val="FF0000"/>
            </a:solidFill>
            <a:head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3800B863-8D59-FA01-B9A5-987C4F2AE775}"/>
              </a:ext>
            </a:extLst>
          </xdr:cNvPr>
          <xdr:cNvCxnSpPr/>
        </xdr:nvCxnSpPr>
        <xdr:spPr>
          <a:xfrm>
            <a:off x="3539068" y="44314533"/>
            <a:ext cx="0" cy="1151467"/>
          </a:xfrm>
          <a:prstGeom prst="straightConnector1">
            <a:avLst/>
          </a:prstGeom>
          <a:ln w="25400">
            <a:solidFill>
              <a:srgbClr val="FF0000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7483A000-3F71-34B3-BAC8-979382060288}"/>
              </a:ext>
            </a:extLst>
          </xdr:cNvPr>
          <xdr:cNvCxnSpPr/>
        </xdr:nvCxnSpPr>
        <xdr:spPr>
          <a:xfrm>
            <a:off x="7679267" y="44873333"/>
            <a:ext cx="0" cy="594089"/>
          </a:xfrm>
          <a:prstGeom prst="straightConnector1">
            <a:avLst/>
          </a:prstGeom>
          <a:ln w="25400">
            <a:solidFill>
              <a:srgbClr val="FF0000"/>
            </a:solidFill>
            <a:headEnd type="oval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104</xdr:row>
      <xdr:rowOff>1</xdr:rowOff>
    </xdr:from>
    <xdr:to>
      <xdr:col>10</xdr:col>
      <xdr:colOff>280200</xdr:colOff>
      <xdr:row>131</xdr:row>
      <xdr:rowOff>204944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7479A701-06CF-4761-A06B-67E28AA9D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24965026"/>
          <a:ext cx="6452400" cy="6634318"/>
        </a:xfrm>
        <a:prstGeom prst="rect">
          <a:avLst/>
        </a:prstGeom>
      </xdr:spPr>
    </xdr:pic>
    <xdr:clientData/>
  </xdr:twoCellAnchor>
  <xdr:twoCellAnchor>
    <xdr:from>
      <xdr:col>9</xdr:col>
      <xdr:colOff>668866</xdr:colOff>
      <xdr:row>105</xdr:row>
      <xdr:rowOff>127000</xdr:rowOff>
    </xdr:from>
    <xdr:to>
      <xdr:col>11</xdr:col>
      <xdr:colOff>266700</xdr:colOff>
      <xdr:row>115</xdr:row>
      <xdr:rowOff>152400</xdr:rowOff>
    </xdr:to>
    <xdr:sp macro="" textlink="">
      <xdr:nvSpPr>
        <xdr:cNvPr id="32" name="右中かっこ 31">
          <a:extLst>
            <a:ext uri="{FF2B5EF4-FFF2-40B4-BE49-F238E27FC236}">
              <a16:creationId xmlns:a16="http://schemas.microsoft.com/office/drawing/2014/main" id="{2B1F88BB-EC89-4565-8BD4-B97FFC96A05B}"/>
            </a:ext>
          </a:extLst>
        </xdr:cNvPr>
        <xdr:cNvSpPr/>
      </xdr:nvSpPr>
      <xdr:spPr>
        <a:xfrm>
          <a:off x="6841066" y="25330150"/>
          <a:ext cx="969434" cy="2406650"/>
        </a:xfrm>
        <a:prstGeom prst="rightBrace">
          <a:avLst>
            <a:gd name="adj1" fmla="val 0"/>
            <a:gd name="adj2" fmla="val 47603"/>
          </a:avLst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116</xdr:row>
      <xdr:rowOff>228599</xdr:rowOff>
    </xdr:from>
    <xdr:to>
      <xdr:col>11</xdr:col>
      <xdr:colOff>266701</xdr:colOff>
      <xdr:row>131</xdr:row>
      <xdr:rowOff>93132</xdr:rowOff>
    </xdr:to>
    <xdr:sp macro="" textlink="">
      <xdr:nvSpPr>
        <xdr:cNvPr id="33" name="右中かっこ 32">
          <a:extLst>
            <a:ext uri="{FF2B5EF4-FFF2-40B4-BE49-F238E27FC236}">
              <a16:creationId xmlns:a16="http://schemas.microsoft.com/office/drawing/2014/main" id="{AB0A8F2B-2220-40FF-B0B6-8343D062DCB0}"/>
            </a:ext>
          </a:extLst>
        </xdr:cNvPr>
        <xdr:cNvSpPr/>
      </xdr:nvSpPr>
      <xdr:spPr>
        <a:xfrm>
          <a:off x="6858000" y="28051124"/>
          <a:ext cx="952501" cy="3436408"/>
        </a:xfrm>
        <a:prstGeom prst="rightBrace">
          <a:avLst>
            <a:gd name="adj1" fmla="val 0"/>
            <a:gd name="adj2" fmla="val 45804"/>
          </a:avLst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65" t="s">
        <v>0</v>
      </c>
      <c r="B2" s="68" t="s">
        <v>18</v>
      </c>
      <c r="C2" s="78" t="s">
        <v>3</v>
      </c>
      <c r="D2" s="81" t="s">
        <v>60</v>
      </c>
      <c r="E2" s="73" t="s">
        <v>1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3" t="s">
        <v>34</v>
      </c>
      <c r="V2" s="74"/>
      <c r="W2" s="74"/>
      <c r="X2" s="74"/>
      <c r="Y2" s="74"/>
      <c r="Z2" s="74"/>
      <c r="AA2" s="74"/>
      <c r="AB2" s="75"/>
      <c r="AC2" s="73" t="s">
        <v>43</v>
      </c>
      <c r="AD2" s="74"/>
      <c r="AE2" s="74"/>
      <c r="AF2" s="74"/>
      <c r="AG2" s="74"/>
      <c r="AH2" s="74"/>
      <c r="AI2" s="74"/>
      <c r="AJ2" s="74"/>
      <c r="AK2" s="75"/>
      <c r="AL2" s="77" t="s">
        <v>53</v>
      </c>
      <c r="AM2" s="74"/>
      <c r="AN2" s="74"/>
      <c r="AO2" s="74"/>
      <c r="AP2" s="74"/>
      <c r="AQ2" s="74"/>
      <c r="AR2" s="74"/>
      <c r="AS2" s="74"/>
      <c r="AT2" s="75"/>
    </row>
    <row r="3" spans="1:46" x14ac:dyDescent="0.4">
      <c r="A3" s="66"/>
      <c r="B3" s="69"/>
      <c r="C3" s="79"/>
      <c r="D3" s="82"/>
      <c r="E3" s="71" t="s">
        <v>2</v>
      </c>
      <c r="F3" s="72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71" t="s">
        <v>2</v>
      </c>
      <c r="V3" s="72"/>
      <c r="W3" s="23" t="s">
        <v>19</v>
      </c>
      <c r="X3" s="23" t="s">
        <v>36</v>
      </c>
      <c r="Y3" s="23" t="s">
        <v>21</v>
      </c>
      <c r="Z3" s="23" t="s">
        <v>22</v>
      </c>
      <c r="AA3" s="23" t="s">
        <v>23</v>
      </c>
      <c r="AB3" s="24" t="s">
        <v>41</v>
      </c>
      <c r="AC3" s="71" t="s">
        <v>2</v>
      </c>
      <c r="AD3" s="72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6" t="s">
        <v>2</v>
      </c>
      <c r="AM3" s="72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6" ht="166.5" x14ac:dyDescent="0.4">
      <c r="A4" s="66"/>
      <c r="B4" s="69"/>
      <c r="C4" s="79"/>
      <c r="D4" s="82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46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59</v>
      </c>
      <c r="AT4" s="34" t="s">
        <v>57</v>
      </c>
    </row>
    <row r="5" spans="1:46" ht="17.25" thickBot="1" x14ac:dyDescent="0.45">
      <c r="A5" s="67"/>
      <c r="B5" s="70"/>
      <c r="C5" s="80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6" x14ac:dyDescent="0.4">
      <c r="A6" s="55">
        <v>21012</v>
      </c>
      <c r="B6" s="10" t="s">
        <v>62</v>
      </c>
      <c r="C6" s="11">
        <f>SUM(E6,U6,AC6,AL6,$D$5)</f>
        <v>69</v>
      </c>
      <c r="D6" s="16"/>
      <c r="E6" s="14">
        <f>$E$5-F6</f>
        <v>33</v>
      </c>
      <c r="F6" s="10">
        <f>COUNTIF(G6:T6,"×")*3</f>
        <v>9</v>
      </c>
      <c r="G6" s="9"/>
      <c r="H6" s="9"/>
      <c r="I6" s="9"/>
      <c r="J6" s="9" t="s">
        <v>128</v>
      </c>
      <c r="K6" s="9"/>
      <c r="L6" s="9"/>
      <c r="M6" s="9"/>
      <c r="N6" s="9" t="s">
        <v>128</v>
      </c>
      <c r="O6" s="9"/>
      <c r="P6" s="9"/>
      <c r="Q6" s="9"/>
      <c r="R6" s="9"/>
      <c r="S6" s="9" t="s">
        <v>128</v>
      </c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10</v>
      </c>
      <c r="AD6" s="10">
        <f>COUNTIF(AE6:AK6,"×")*2</f>
        <v>4</v>
      </c>
      <c r="AE6" s="9"/>
      <c r="AF6" s="9"/>
      <c r="AG6" s="9" t="s">
        <v>128</v>
      </c>
      <c r="AH6" s="9"/>
      <c r="AI6" s="9"/>
      <c r="AJ6" s="9" t="s">
        <v>128</v>
      </c>
      <c r="AK6" s="21"/>
      <c r="AL6" s="19">
        <f>$AL$5-AM6</f>
        <v>3</v>
      </c>
      <c r="AM6" s="10">
        <f>COUNTIF(AN6:AT6,"×")*3</f>
        <v>18</v>
      </c>
      <c r="AN6" s="9"/>
      <c r="AO6" s="9" t="s">
        <v>128</v>
      </c>
      <c r="AP6" s="9" t="s">
        <v>128</v>
      </c>
      <c r="AQ6" s="9" t="s">
        <v>128</v>
      </c>
      <c r="AR6" s="9" t="s">
        <v>128</v>
      </c>
      <c r="AS6" s="9" t="s">
        <v>128</v>
      </c>
      <c r="AT6" s="21" t="s">
        <v>128</v>
      </c>
    </row>
    <row r="7" spans="1:46" x14ac:dyDescent="0.4">
      <c r="A7" s="56">
        <v>21014</v>
      </c>
      <c r="B7" s="3" t="s">
        <v>63</v>
      </c>
      <c r="C7" s="12">
        <f t="shared" ref="C7:C20" si="0">SUM(E7,U7,AC7,AL7,$D$5)</f>
        <v>85</v>
      </c>
      <c r="D7" s="17"/>
      <c r="E7" s="15">
        <f t="shared" ref="E7:E60" si="1">$E$5-F7</f>
        <v>36</v>
      </c>
      <c r="F7" s="3">
        <f t="shared" ref="F7:F31" si="2">COUNTIF(G7:T7,"×")*3</f>
        <v>6</v>
      </c>
      <c r="G7" s="2"/>
      <c r="H7" s="2"/>
      <c r="I7" s="2"/>
      <c r="J7" s="2" t="s">
        <v>128</v>
      </c>
      <c r="K7" s="2"/>
      <c r="L7" s="2"/>
      <c r="M7" s="2"/>
      <c r="N7" s="2"/>
      <c r="O7" s="2" t="s">
        <v>128</v>
      </c>
      <c r="P7" s="2"/>
      <c r="Q7" s="2"/>
      <c r="R7" s="2"/>
      <c r="S7" s="2"/>
      <c r="T7" s="7"/>
      <c r="U7" s="20">
        <f t="shared" ref="U7:U60" si="3">$U$5-V7</f>
        <v>15</v>
      </c>
      <c r="V7" s="3">
        <f t="shared" ref="V7:V20" si="4">COUNTIF(W7:AB7,"×")*3</f>
        <v>3</v>
      </c>
      <c r="W7" s="2" t="s">
        <v>128</v>
      </c>
      <c r="X7" s="2"/>
      <c r="Y7" s="2"/>
      <c r="Z7" s="2"/>
      <c r="AA7" s="2"/>
      <c r="AB7" s="7"/>
      <c r="AC7" s="20">
        <f t="shared" ref="AC7:AC60" si="5">$AC$5-AD7</f>
        <v>14</v>
      </c>
      <c r="AD7" s="3">
        <f t="shared" ref="AD7:AD19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:AL60" si="7">$AL$5-AM7</f>
        <v>15</v>
      </c>
      <c r="AM7" s="3">
        <f t="shared" ref="AM7:AM20" si="8">COUNTIF(AN7:AT7,"×")*3</f>
        <v>6</v>
      </c>
      <c r="AN7" s="2"/>
      <c r="AO7" s="2"/>
      <c r="AP7" s="2" t="s">
        <v>128</v>
      </c>
      <c r="AQ7" s="2" t="s">
        <v>128</v>
      </c>
      <c r="AR7" s="2"/>
      <c r="AS7" s="2"/>
      <c r="AT7" s="7"/>
    </row>
    <row r="8" spans="1:46" x14ac:dyDescent="0.4">
      <c r="A8" s="56">
        <v>21018</v>
      </c>
      <c r="B8" s="3" t="s">
        <v>64</v>
      </c>
      <c r="C8" s="12">
        <f t="shared" si="0"/>
        <v>79</v>
      </c>
      <c r="D8" s="17"/>
      <c r="E8" s="15">
        <f t="shared" si="1"/>
        <v>36</v>
      </c>
      <c r="F8" s="3">
        <f t="shared" si="2"/>
        <v>6</v>
      </c>
      <c r="G8" s="2"/>
      <c r="H8" s="2"/>
      <c r="I8" s="2"/>
      <c r="J8" s="2" t="s">
        <v>128</v>
      </c>
      <c r="K8" s="2"/>
      <c r="L8" s="2"/>
      <c r="M8" s="2"/>
      <c r="N8" s="2" t="s">
        <v>128</v>
      </c>
      <c r="O8" s="2"/>
      <c r="P8" s="2"/>
      <c r="Q8" s="2"/>
      <c r="R8" s="2"/>
      <c r="S8" s="2"/>
      <c r="T8" s="7"/>
      <c r="U8" s="20">
        <f t="shared" si="3"/>
        <v>18</v>
      </c>
      <c r="V8" s="3">
        <f t="shared" si="4"/>
        <v>0</v>
      </c>
      <c r="W8" s="2"/>
      <c r="X8" s="2"/>
      <c r="Y8" s="2"/>
      <c r="Z8" s="2"/>
      <c r="AA8" s="2"/>
      <c r="AB8" s="7"/>
      <c r="AC8" s="20">
        <f t="shared" si="5"/>
        <v>14</v>
      </c>
      <c r="AD8" s="3">
        <f t="shared" si="6"/>
        <v>0</v>
      </c>
      <c r="AE8" s="2"/>
      <c r="AF8" s="2"/>
      <c r="AG8" s="2"/>
      <c r="AH8" s="2"/>
      <c r="AI8" s="2"/>
      <c r="AJ8" s="2"/>
      <c r="AK8" s="7"/>
      <c r="AL8" s="20">
        <f t="shared" si="7"/>
        <v>6</v>
      </c>
      <c r="AM8" s="3">
        <f t="shared" si="8"/>
        <v>15</v>
      </c>
      <c r="AN8" s="2" t="s">
        <v>131</v>
      </c>
      <c r="AO8" s="2" t="s">
        <v>128</v>
      </c>
      <c r="AP8" s="2" t="s">
        <v>128</v>
      </c>
      <c r="AQ8" s="2" t="s">
        <v>128</v>
      </c>
      <c r="AR8" s="2"/>
      <c r="AS8" s="2"/>
      <c r="AT8" s="7" t="s">
        <v>128</v>
      </c>
    </row>
    <row r="9" spans="1:46" x14ac:dyDescent="0.4">
      <c r="A9" s="56">
        <v>21019</v>
      </c>
      <c r="B9" s="3" t="s">
        <v>65</v>
      </c>
      <c r="C9" s="12">
        <f t="shared" si="0"/>
        <v>94</v>
      </c>
      <c r="D9" s="17"/>
      <c r="E9" s="15">
        <f t="shared" si="1"/>
        <v>39</v>
      </c>
      <c r="F9" s="3">
        <f t="shared" si="2"/>
        <v>3</v>
      </c>
      <c r="G9" s="2"/>
      <c r="H9" s="2"/>
      <c r="I9" s="2"/>
      <c r="J9" s="2" t="s">
        <v>128</v>
      </c>
      <c r="K9" s="2"/>
      <c r="L9" s="2"/>
      <c r="M9" s="2"/>
      <c r="N9" s="2"/>
      <c r="O9" s="2"/>
      <c r="P9" s="2"/>
      <c r="Q9" s="2"/>
      <c r="R9" s="2"/>
      <c r="S9" s="2"/>
      <c r="T9" s="7"/>
      <c r="U9" s="20">
        <f t="shared" si="3"/>
        <v>18</v>
      </c>
      <c r="V9" s="3">
        <f t="shared" si="4"/>
        <v>0</v>
      </c>
      <c r="W9" s="2"/>
      <c r="X9" s="2"/>
      <c r="Y9" s="2"/>
      <c r="Z9" s="2"/>
      <c r="AA9" s="2"/>
      <c r="AB9" s="7"/>
      <c r="AC9" s="20">
        <f t="shared" si="5"/>
        <v>14</v>
      </c>
      <c r="AD9" s="3">
        <f t="shared" si="6"/>
        <v>0</v>
      </c>
      <c r="AE9" s="2"/>
      <c r="AF9" s="2"/>
      <c r="AG9" s="2"/>
      <c r="AH9" s="2"/>
      <c r="AI9" s="2"/>
      <c r="AJ9" s="2"/>
      <c r="AK9" s="7"/>
      <c r="AL9" s="20">
        <f t="shared" si="7"/>
        <v>18</v>
      </c>
      <c r="AM9" s="3">
        <f t="shared" si="8"/>
        <v>3</v>
      </c>
      <c r="AN9" s="2"/>
      <c r="AO9" s="2"/>
      <c r="AP9" s="2"/>
      <c r="AQ9" s="2"/>
      <c r="AR9" s="2"/>
      <c r="AS9" s="2"/>
      <c r="AT9" s="7" t="s">
        <v>128</v>
      </c>
    </row>
    <row r="10" spans="1:46" x14ac:dyDescent="0.4">
      <c r="A10" s="56">
        <v>21020</v>
      </c>
      <c r="B10" s="3" t="s">
        <v>66</v>
      </c>
      <c r="C10" s="12">
        <f t="shared" si="0"/>
        <v>97</v>
      </c>
      <c r="D10" s="17"/>
      <c r="E10" s="15">
        <f t="shared" si="1"/>
        <v>39</v>
      </c>
      <c r="F10" s="3">
        <f t="shared" si="2"/>
        <v>3</v>
      </c>
      <c r="G10" s="2"/>
      <c r="H10" s="2"/>
      <c r="I10" s="2" t="s">
        <v>128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7"/>
      <c r="U10" s="20">
        <f t="shared" si="3"/>
        <v>18</v>
      </c>
      <c r="V10" s="3">
        <f t="shared" si="4"/>
        <v>0</v>
      </c>
      <c r="W10" s="2"/>
      <c r="X10" s="2"/>
      <c r="Y10" s="2"/>
      <c r="Z10" s="2"/>
      <c r="AA10" s="2"/>
      <c r="AB10" s="7"/>
      <c r="AC10" s="20">
        <f t="shared" si="5"/>
        <v>14</v>
      </c>
      <c r="AD10" s="3">
        <f t="shared" si="6"/>
        <v>0</v>
      </c>
      <c r="AE10" s="2"/>
      <c r="AF10" s="2"/>
      <c r="AG10" s="2"/>
      <c r="AH10" s="2"/>
      <c r="AI10" s="2"/>
      <c r="AJ10" s="2"/>
      <c r="AK10" s="7"/>
      <c r="AL10" s="20">
        <f t="shared" si="7"/>
        <v>21</v>
      </c>
      <c r="AM10" s="3">
        <f t="shared" si="8"/>
        <v>0</v>
      </c>
      <c r="AN10" s="2"/>
      <c r="AO10" s="2"/>
      <c r="AP10" s="2"/>
      <c r="AQ10" s="2"/>
      <c r="AR10" s="2"/>
      <c r="AS10" s="2"/>
      <c r="AT10" s="7"/>
    </row>
    <row r="11" spans="1:46" x14ac:dyDescent="0.4">
      <c r="A11" s="56">
        <v>21029</v>
      </c>
      <c r="B11" s="3" t="s">
        <v>67</v>
      </c>
      <c r="C11" s="12">
        <f t="shared" si="0"/>
        <v>41</v>
      </c>
      <c r="D11" s="17"/>
      <c r="E11" s="15">
        <f t="shared" si="1"/>
        <v>15</v>
      </c>
      <c r="F11" s="3">
        <f t="shared" si="2"/>
        <v>27</v>
      </c>
      <c r="G11" s="2" t="s">
        <v>128</v>
      </c>
      <c r="H11" s="2" t="s">
        <v>128</v>
      </c>
      <c r="I11" s="2"/>
      <c r="J11" s="2" t="s">
        <v>128</v>
      </c>
      <c r="K11" s="2"/>
      <c r="L11" s="2" t="s">
        <v>128</v>
      </c>
      <c r="M11" s="2" t="s">
        <v>128</v>
      </c>
      <c r="N11" s="2" t="s">
        <v>128</v>
      </c>
      <c r="O11" s="2" t="s">
        <v>128</v>
      </c>
      <c r="P11" s="2"/>
      <c r="Q11" s="2"/>
      <c r="R11" s="2"/>
      <c r="S11" s="2" t="s">
        <v>128</v>
      </c>
      <c r="T11" s="7" t="s">
        <v>128</v>
      </c>
      <c r="U11" s="20">
        <f t="shared" si="3"/>
        <v>15</v>
      </c>
      <c r="V11" s="3">
        <f t="shared" si="4"/>
        <v>3</v>
      </c>
      <c r="W11" s="2"/>
      <c r="X11" s="2"/>
      <c r="Y11" s="2"/>
      <c r="Z11" s="2" t="s">
        <v>128</v>
      </c>
      <c r="AA11" s="2"/>
      <c r="AB11" s="7"/>
      <c r="AC11" s="20">
        <f t="shared" si="5"/>
        <v>6</v>
      </c>
      <c r="AD11" s="3">
        <f t="shared" si="6"/>
        <v>8</v>
      </c>
      <c r="AE11" s="2"/>
      <c r="AF11" s="2"/>
      <c r="AG11" s="2" t="s">
        <v>128</v>
      </c>
      <c r="AH11" s="2" t="s">
        <v>128</v>
      </c>
      <c r="AI11" s="2" t="s">
        <v>128</v>
      </c>
      <c r="AJ11" s="2"/>
      <c r="AK11" s="7" t="s">
        <v>130</v>
      </c>
      <c r="AL11" s="20">
        <f t="shared" si="7"/>
        <v>0</v>
      </c>
      <c r="AM11" s="3">
        <f t="shared" si="8"/>
        <v>21</v>
      </c>
      <c r="AN11" s="2" t="s">
        <v>128</v>
      </c>
      <c r="AO11" s="2" t="s">
        <v>128</v>
      </c>
      <c r="AP11" s="2" t="s">
        <v>128</v>
      </c>
      <c r="AQ11" s="2" t="s">
        <v>128</v>
      </c>
      <c r="AR11" s="2" t="s">
        <v>128</v>
      </c>
      <c r="AS11" s="2" t="s">
        <v>128</v>
      </c>
      <c r="AT11" s="7" t="s">
        <v>129</v>
      </c>
    </row>
    <row r="12" spans="1:46" x14ac:dyDescent="0.4">
      <c r="A12" s="56">
        <v>21031</v>
      </c>
      <c r="B12" s="3" t="s">
        <v>68</v>
      </c>
      <c r="C12" s="12">
        <f t="shared" si="0"/>
        <v>91</v>
      </c>
      <c r="D12" s="17"/>
      <c r="E12" s="15">
        <f t="shared" si="1"/>
        <v>36</v>
      </c>
      <c r="F12" s="3">
        <f t="shared" si="2"/>
        <v>6</v>
      </c>
      <c r="G12" s="2"/>
      <c r="H12" s="2"/>
      <c r="I12" s="2"/>
      <c r="J12" s="2" t="s">
        <v>128</v>
      </c>
      <c r="K12" s="2"/>
      <c r="L12" s="2"/>
      <c r="M12" s="2"/>
      <c r="N12" s="2" t="s">
        <v>128</v>
      </c>
      <c r="O12" s="2"/>
      <c r="P12" s="2"/>
      <c r="Q12" s="2"/>
      <c r="R12" s="2"/>
      <c r="S12" s="2"/>
      <c r="T12" s="7"/>
      <c r="U12" s="20">
        <f t="shared" si="3"/>
        <v>15</v>
      </c>
      <c r="V12" s="3">
        <f t="shared" si="4"/>
        <v>3</v>
      </c>
      <c r="W12" s="2"/>
      <c r="X12" s="2"/>
      <c r="Y12" s="2"/>
      <c r="Z12" s="2" t="s">
        <v>128</v>
      </c>
      <c r="AA12" s="2"/>
      <c r="AB12" s="7"/>
      <c r="AC12" s="20">
        <f t="shared" si="5"/>
        <v>14</v>
      </c>
      <c r="AD12" s="3">
        <f t="shared" si="6"/>
        <v>0</v>
      </c>
      <c r="AE12" s="2"/>
      <c r="AF12" s="2"/>
      <c r="AG12" s="2"/>
      <c r="AH12" s="2"/>
      <c r="AI12" s="2"/>
      <c r="AJ12" s="2"/>
      <c r="AK12" s="7"/>
      <c r="AL12" s="20">
        <f t="shared" si="7"/>
        <v>21</v>
      </c>
      <c r="AM12" s="3">
        <f t="shared" si="8"/>
        <v>0</v>
      </c>
      <c r="AN12" s="2"/>
      <c r="AO12" s="2"/>
      <c r="AP12" s="2"/>
      <c r="AQ12" s="2"/>
      <c r="AR12" s="2"/>
      <c r="AS12" s="2"/>
      <c r="AT12" s="7"/>
    </row>
    <row r="13" spans="1:46" x14ac:dyDescent="0.4">
      <c r="A13" s="56">
        <v>21044</v>
      </c>
      <c r="B13" s="3" t="s">
        <v>69</v>
      </c>
      <c r="C13" s="12">
        <f t="shared" si="0"/>
        <v>97</v>
      </c>
      <c r="D13" s="17"/>
      <c r="E13" s="15">
        <f t="shared" si="1"/>
        <v>39</v>
      </c>
      <c r="F13" s="3">
        <f t="shared" si="2"/>
        <v>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 t="s">
        <v>127</v>
      </c>
      <c r="S13" s="2"/>
      <c r="T13" s="7"/>
      <c r="U13" s="20">
        <f t="shared" si="3"/>
        <v>18</v>
      </c>
      <c r="V13" s="3">
        <f t="shared" si="4"/>
        <v>0</v>
      </c>
      <c r="W13" s="2"/>
      <c r="X13" s="2"/>
      <c r="Y13" s="2"/>
      <c r="Z13" s="2"/>
      <c r="AA13" s="2"/>
      <c r="AB13" s="7"/>
      <c r="AC13" s="20">
        <f t="shared" si="5"/>
        <v>14</v>
      </c>
      <c r="AD13" s="3">
        <f t="shared" si="6"/>
        <v>0</v>
      </c>
      <c r="AE13" s="2"/>
      <c r="AF13" s="2"/>
      <c r="AG13" s="2"/>
      <c r="AH13" s="2"/>
      <c r="AI13" s="2"/>
      <c r="AJ13" s="2"/>
      <c r="AK13" s="7"/>
      <c r="AL13" s="20">
        <f t="shared" si="7"/>
        <v>21</v>
      </c>
      <c r="AM13" s="3">
        <f t="shared" si="8"/>
        <v>0</v>
      </c>
      <c r="AN13" s="2"/>
      <c r="AO13" s="2"/>
      <c r="AP13" s="2"/>
      <c r="AQ13" s="2"/>
      <c r="AR13" s="2"/>
      <c r="AS13" s="2"/>
      <c r="AT13" s="7"/>
    </row>
    <row r="14" spans="1:46" x14ac:dyDescent="0.4">
      <c r="A14" s="56">
        <v>21056</v>
      </c>
      <c r="B14" s="3" t="s">
        <v>70</v>
      </c>
      <c r="C14" s="12">
        <f t="shared" si="0"/>
        <v>88</v>
      </c>
      <c r="D14" s="17"/>
      <c r="E14" s="15">
        <f t="shared" si="1"/>
        <v>42</v>
      </c>
      <c r="F14" s="3">
        <f t="shared" si="2"/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/>
      <c r="U14" s="20">
        <f t="shared" si="3"/>
        <v>18</v>
      </c>
      <c r="V14" s="3">
        <f t="shared" si="4"/>
        <v>0</v>
      </c>
      <c r="W14" s="2"/>
      <c r="X14" s="2"/>
      <c r="Y14" s="2"/>
      <c r="Z14" s="2"/>
      <c r="AA14" s="2"/>
      <c r="AB14" s="7"/>
      <c r="AC14" s="20">
        <f t="shared" si="5"/>
        <v>14</v>
      </c>
      <c r="AD14" s="3">
        <f t="shared" si="6"/>
        <v>0</v>
      </c>
      <c r="AE14" s="2"/>
      <c r="AF14" s="2"/>
      <c r="AG14" s="2"/>
      <c r="AH14" s="2"/>
      <c r="AI14" s="2"/>
      <c r="AJ14" s="2"/>
      <c r="AK14" s="7"/>
      <c r="AL14" s="20">
        <f t="shared" si="7"/>
        <v>9</v>
      </c>
      <c r="AM14" s="3">
        <f t="shared" si="8"/>
        <v>12</v>
      </c>
      <c r="AN14" s="2"/>
      <c r="AO14" s="2"/>
      <c r="AP14" s="2" t="s">
        <v>128</v>
      </c>
      <c r="AQ14" s="2" t="s">
        <v>128</v>
      </c>
      <c r="AR14" s="2"/>
      <c r="AS14" s="2" t="s">
        <v>131</v>
      </c>
      <c r="AT14" s="7" t="s">
        <v>128</v>
      </c>
    </row>
    <row r="15" spans="1:46" x14ac:dyDescent="0.4">
      <c r="A15" s="56">
        <v>21062</v>
      </c>
      <c r="B15" s="3" t="s">
        <v>71</v>
      </c>
      <c r="C15" s="12">
        <f t="shared" si="0"/>
        <v>100</v>
      </c>
      <c r="D15" s="17"/>
      <c r="E15" s="15">
        <f t="shared" si="1"/>
        <v>42</v>
      </c>
      <c r="F15" s="3">
        <f t="shared" si="2"/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/>
      <c r="U15" s="20">
        <f t="shared" si="3"/>
        <v>18</v>
      </c>
      <c r="V15" s="3">
        <f t="shared" si="4"/>
        <v>0</v>
      </c>
      <c r="W15" s="2"/>
      <c r="X15" s="2"/>
      <c r="Y15" s="2"/>
      <c r="Z15" s="2"/>
      <c r="AA15" s="2"/>
      <c r="AB15" s="7"/>
      <c r="AC15" s="20">
        <f t="shared" si="5"/>
        <v>14</v>
      </c>
      <c r="AD15" s="3">
        <f t="shared" si="6"/>
        <v>0</v>
      </c>
      <c r="AE15" s="2"/>
      <c r="AF15" s="2"/>
      <c r="AG15" s="2"/>
      <c r="AH15" s="2"/>
      <c r="AI15" s="2"/>
      <c r="AJ15" s="2"/>
      <c r="AK15" s="7"/>
      <c r="AL15" s="20">
        <f t="shared" si="7"/>
        <v>21</v>
      </c>
      <c r="AM15" s="3">
        <f t="shared" si="8"/>
        <v>0</v>
      </c>
      <c r="AN15" s="2"/>
      <c r="AO15" s="2"/>
      <c r="AP15" s="2"/>
      <c r="AQ15" s="2"/>
      <c r="AR15" s="2"/>
      <c r="AS15" s="2"/>
      <c r="AT15" s="7"/>
    </row>
    <row r="16" spans="1:46" x14ac:dyDescent="0.4">
      <c r="A16" s="56">
        <v>21066</v>
      </c>
      <c r="B16" s="3" t="s">
        <v>72</v>
      </c>
      <c r="C16" s="12">
        <f t="shared" si="0"/>
        <v>73</v>
      </c>
      <c r="D16" s="17"/>
      <c r="E16" s="15">
        <f t="shared" si="1"/>
        <v>36</v>
      </c>
      <c r="F16" s="3">
        <f t="shared" si="2"/>
        <v>6</v>
      </c>
      <c r="G16" s="2"/>
      <c r="H16" s="2"/>
      <c r="I16" s="2" t="s">
        <v>128</v>
      </c>
      <c r="J16" s="2"/>
      <c r="K16" s="2"/>
      <c r="L16" s="2"/>
      <c r="M16" s="2"/>
      <c r="N16" s="2"/>
      <c r="O16" s="2" t="s">
        <v>129</v>
      </c>
      <c r="P16" s="2"/>
      <c r="Q16" s="2"/>
      <c r="R16" s="2"/>
      <c r="S16" s="2"/>
      <c r="T16" s="7"/>
      <c r="U16" s="20">
        <f t="shared" si="3"/>
        <v>18</v>
      </c>
      <c r="V16" s="3">
        <f t="shared" si="4"/>
        <v>0</v>
      </c>
      <c r="W16" s="2"/>
      <c r="X16" s="2"/>
      <c r="Y16" s="2"/>
      <c r="Z16" s="2"/>
      <c r="AA16" s="2"/>
      <c r="AB16" s="7"/>
      <c r="AC16" s="20">
        <f t="shared" si="5"/>
        <v>14</v>
      </c>
      <c r="AD16" s="3">
        <f t="shared" si="6"/>
        <v>0</v>
      </c>
      <c r="AE16" s="2"/>
      <c r="AF16" s="2"/>
      <c r="AG16" s="2"/>
      <c r="AH16" s="2"/>
      <c r="AI16" s="2"/>
      <c r="AJ16" s="2"/>
      <c r="AK16" s="7"/>
      <c r="AL16" s="20">
        <f t="shared" si="7"/>
        <v>0</v>
      </c>
      <c r="AM16" s="3">
        <f t="shared" si="8"/>
        <v>21</v>
      </c>
      <c r="AN16" s="2" t="s">
        <v>128</v>
      </c>
      <c r="AO16" s="2" t="s">
        <v>128</v>
      </c>
      <c r="AP16" s="2" t="s">
        <v>128</v>
      </c>
      <c r="AQ16" s="2" t="s">
        <v>128</v>
      </c>
      <c r="AR16" s="2" t="s">
        <v>128</v>
      </c>
      <c r="AS16" s="2" t="s">
        <v>128</v>
      </c>
      <c r="AT16" s="7" t="s">
        <v>128</v>
      </c>
    </row>
    <row r="17" spans="1:46" ht="17.25" thickBot="1" x14ac:dyDescent="0.45">
      <c r="A17" s="57">
        <v>21067</v>
      </c>
      <c r="B17" s="5" t="s">
        <v>73</v>
      </c>
      <c r="C17" s="13">
        <f t="shared" si="0"/>
        <v>88</v>
      </c>
      <c r="D17" s="18"/>
      <c r="E17" s="6">
        <f t="shared" si="1"/>
        <v>42</v>
      </c>
      <c r="F17" s="5">
        <f t="shared" si="2"/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2"/>
      <c r="U17" s="8">
        <f t="shared" si="3"/>
        <v>18</v>
      </c>
      <c r="V17" s="5">
        <f t="shared" si="4"/>
        <v>0</v>
      </c>
      <c r="W17" s="4"/>
      <c r="X17" s="4"/>
      <c r="Y17" s="4"/>
      <c r="Z17" s="4"/>
      <c r="AA17" s="4"/>
      <c r="AB17" s="22"/>
      <c r="AC17" s="8">
        <f t="shared" si="5"/>
        <v>14</v>
      </c>
      <c r="AD17" s="5">
        <f t="shared" si="6"/>
        <v>0</v>
      </c>
      <c r="AE17" s="4"/>
      <c r="AF17" s="4"/>
      <c r="AG17" s="4"/>
      <c r="AH17" s="4"/>
      <c r="AI17" s="4"/>
      <c r="AJ17" s="4"/>
      <c r="AK17" s="22"/>
      <c r="AL17" s="8">
        <f t="shared" si="7"/>
        <v>9</v>
      </c>
      <c r="AM17" s="5">
        <f t="shared" si="8"/>
        <v>12</v>
      </c>
      <c r="AN17" s="4"/>
      <c r="AO17" s="4"/>
      <c r="AP17" s="4"/>
      <c r="AQ17" s="4" t="s">
        <v>128</v>
      </c>
      <c r="AR17" s="4" t="s">
        <v>132</v>
      </c>
      <c r="AS17" s="4" t="s">
        <v>131</v>
      </c>
      <c r="AT17" s="22" t="s">
        <v>128</v>
      </c>
    </row>
    <row r="18" spans="1:46" x14ac:dyDescent="0.4">
      <c r="A18" s="52">
        <v>21006</v>
      </c>
      <c r="B18" s="10" t="s">
        <v>74</v>
      </c>
      <c r="C18" s="11">
        <f t="shared" si="0"/>
        <v>92</v>
      </c>
      <c r="D18" s="16"/>
      <c r="E18" s="14">
        <f t="shared" si="1"/>
        <v>39</v>
      </c>
      <c r="F18" s="10">
        <f t="shared" si="2"/>
        <v>3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 t="s">
        <v>137</v>
      </c>
      <c r="S18" s="9"/>
      <c r="T18" s="21"/>
      <c r="U18" s="19">
        <f t="shared" si="3"/>
        <v>18</v>
      </c>
      <c r="V18" s="10">
        <f t="shared" si="4"/>
        <v>0</v>
      </c>
      <c r="W18" s="9"/>
      <c r="X18" s="9"/>
      <c r="Y18" s="9"/>
      <c r="Z18" s="9"/>
      <c r="AA18" s="9"/>
      <c r="AB18" s="21"/>
      <c r="AC18" s="19">
        <f t="shared" si="5"/>
        <v>12</v>
      </c>
      <c r="AD18" s="10">
        <f t="shared" si="6"/>
        <v>2</v>
      </c>
      <c r="AE18" s="9"/>
      <c r="AF18" s="9"/>
      <c r="AG18" s="9"/>
      <c r="AH18" s="9"/>
      <c r="AI18" s="9"/>
      <c r="AJ18" s="9"/>
      <c r="AK18" s="21" t="s">
        <v>134</v>
      </c>
      <c r="AL18" s="19">
        <f t="shared" si="7"/>
        <v>18</v>
      </c>
      <c r="AM18" s="10">
        <f t="shared" si="8"/>
        <v>3</v>
      </c>
      <c r="AN18" s="9" t="s">
        <v>134</v>
      </c>
      <c r="AO18" s="9"/>
      <c r="AP18" s="9"/>
      <c r="AQ18" s="9"/>
      <c r="AR18" s="9"/>
      <c r="AS18" s="9"/>
      <c r="AT18" s="21"/>
    </row>
    <row r="19" spans="1:46" x14ac:dyDescent="0.4">
      <c r="A19" s="53">
        <v>21007</v>
      </c>
      <c r="B19" s="3" t="s">
        <v>75</v>
      </c>
      <c r="C19" s="12">
        <f>SUM(E19,U19,AC19,AL19,$D$5)</f>
        <v>76</v>
      </c>
      <c r="D19" s="17"/>
      <c r="E19" s="15">
        <f t="shared" si="1"/>
        <v>39</v>
      </c>
      <c r="F19" s="3">
        <f t="shared" si="2"/>
        <v>3</v>
      </c>
      <c r="G19" s="2"/>
      <c r="H19" s="2"/>
      <c r="I19" s="2"/>
      <c r="J19" s="2"/>
      <c r="K19" s="2"/>
      <c r="L19" s="2"/>
      <c r="M19" s="2"/>
      <c r="N19" s="2"/>
      <c r="O19" s="2" t="s">
        <v>134</v>
      </c>
      <c r="P19" s="2"/>
      <c r="Q19" s="2"/>
      <c r="R19" s="2"/>
      <c r="S19" s="2"/>
      <c r="T19" s="7"/>
      <c r="U19" s="20">
        <f t="shared" si="3"/>
        <v>18</v>
      </c>
      <c r="V19" s="3">
        <f t="shared" si="4"/>
        <v>0</v>
      </c>
      <c r="W19" s="2"/>
      <c r="X19" s="2"/>
      <c r="Y19" s="2"/>
      <c r="Z19" s="2"/>
      <c r="AA19" s="2"/>
      <c r="AB19" s="7"/>
      <c r="AC19" s="20">
        <f t="shared" si="5"/>
        <v>14</v>
      </c>
      <c r="AD19" s="3">
        <f t="shared" si="6"/>
        <v>0</v>
      </c>
      <c r="AE19" s="2"/>
      <c r="AF19" s="2"/>
      <c r="AG19" s="2"/>
      <c r="AH19" s="2"/>
      <c r="AI19" s="2"/>
      <c r="AJ19" s="2"/>
      <c r="AK19" s="7"/>
      <c r="AL19" s="20">
        <f t="shared" si="7"/>
        <v>0</v>
      </c>
      <c r="AM19" s="3">
        <f t="shared" si="8"/>
        <v>21</v>
      </c>
      <c r="AN19" s="2" t="s">
        <v>133</v>
      </c>
      <c r="AO19" s="2" t="s">
        <v>133</v>
      </c>
      <c r="AP19" s="2" t="s">
        <v>133</v>
      </c>
      <c r="AQ19" s="2" t="s">
        <v>133</v>
      </c>
      <c r="AR19" s="2" t="s">
        <v>133</v>
      </c>
      <c r="AS19" s="2" t="s">
        <v>133</v>
      </c>
      <c r="AT19" s="7" t="s">
        <v>133</v>
      </c>
    </row>
    <row r="20" spans="1:46" x14ac:dyDescent="0.4">
      <c r="A20" s="53">
        <v>21011</v>
      </c>
      <c r="B20" s="3" t="s">
        <v>76</v>
      </c>
      <c r="C20" s="12">
        <f t="shared" si="0"/>
        <v>67</v>
      </c>
      <c r="D20" s="17"/>
      <c r="E20" s="15">
        <f t="shared" si="1"/>
        <v>30</v>
      </c>
      <c r="F20" s="3">
        <f t="shared" si="2"/>
        <v>12</v>
      </c>
      <c r="G20" s="2"/>
      <c r="H20" s="2"/>
      <c r="I20" s="2"/>
      <c r="J20" s="2" t="s">
        <v>134</v>
      </c>
      <c r="K20" s="2"/>
      <c r="L20" s="2"/>
      <c r="M20" s="2"/>
      <c r="N20" s="2" t="s">
        <v>134</v>
      </c>
      <c r="O20" s="2"/>
      <c r="P20" s="2" t="s">
        <v>134</v>
      </c>
      <c r="Q20" s="2" t="s">
        <v>134</v>
      </c>
      <c r="R20" s="2"/>
      <c r="S20" s="2"/>
      <c r="T20" s="7"/>
      <c r="U20" s="20">
        <f t="shared" si="3"/>
        <v>18</v>
      </c>
      <c r="V20" s="3">
        <f t="shared" si="4"/>
        <v>0</v>
      </c>
      <c r="W20" s="2"/>
      <c r="X20" s="2"/>
      <c r="Y20" s="2"/>
      <c r="Z20" s="2"/>
      <c r="AA20" s="2"/>
      <c r="AB20" s="7"/>
      <c r="AC20" s="20">
        <f t="shared" si="5"/>
        <v>14</v>
      </c>
      <c r="AD20" s="3">
        <f t="shared" ref="AD20" si="9">COUNTIF(AE20:AK20,"×")*2</f>
        <v>0</v>
      </c>
      <c r="AE20" s="2"/>
      <c r="AF20" s="2"/>
      <c r="AG20" s="2"/>
      <c r="AH20" s="2"/>
      <c r="AI20" s="2"/>
      <c r="AJ20" s="2"/>
      <c r="AK20" s="7"/>
      <c r="AL20" s="20">
        <f t="shared" si="7"/>
        <v>0</v>
      </c>
      <c r="AM20" s="3">
        <f t="shared" si="8"/>
        <v>21</v>
      </c>
      <c r="AN20" s="2" t="s">
        <v>133</v>
      </c>
      <c r="AO20" s="2" t="s">
        <v>133</v>
      </c>
      <c r="AP20" s="2" t="s">
        <v>133</v>
      </c>
      <c r="AQ20" s="2" t="s">
        <v>133</v>
      </c>
      <c r="AR20" s="2" t="s">
        <v>133</v>
      </c>
      <c r="AS20" s="2" t="s">
        <v>133</v>
      </c>
      <c r="AT20" s="7" t="s">
        <v>133</v>
      </c>
    </row>
    <row r="21" spans="1:46" x14ac:dyDescent="0.4">
      <c r="A21" s="53">
        <v>21016</v>
      </c>
      <c r="B21" s="3" t="s">
        <v>77</v>
      </c>
      <c r="C21" s="12">
        <f t="shared" ref="C21:C60" si="10">SUM(E21,U21,AC21,AL21,$D$5)</f>
        <v>85</v>
      </c>
      <c r="D21" s="17"/>
      <c r="E21" s="15">
        <f t="shared" si="1"/>
        <v>27</v>
      </c>
      <c r="F21" s="3">
        <f t="shared" si="2"/>
        <v>15</v>
      </c>
      <c r="G21" s="2"/>
      <c r="H21" s="2"/>
      <c r="I21" s="2"/>
      <c r="J21" s="2" t="s">
        <v>134</v>
      </c>
      <c r="K21" s="2"/>
      <c r="L21" s="2"/>
      <c r="M21" s="2"/>
      <c r="N21" s="2" t="s">
        <v>134</v>
      </c>
      <c r="O21" s="2" t="s">
        <v>134</v>
      </c>
      <c r="P21" s="2"/>
      <c r="Q21" s="2" t="s">
        <v>134</v>
      </c>
      <c r="R21" s="2"/>
      <c r="S21" s="2" t="s">
        <v>134</v>
      </c>
      <c r="T21" s="7"/>
      <c r="U21" s="20">
        <f t="shared" si="3"/>
        <v>18</v>
      </c>
      <c r="V21" s="3">
        <f t="shared" ref="V21:V60" si="11">COUNTIF(W21:AB21,"×")*3</f>
        <v>0</v>
      </c>
      <c r="W21" s="2"/>
      <c r="X21" s="2"/>
      <c r="Y21" s="2"/>
      <c r="Z21" s="2"/>
      <c r="AA21" s="2"/>
      <c r="AB21" s="7"/>
      <c r="AC21" s="20">
        <f t="shared" si="5"/>
        <v>14</v>
      </c>
      <c r="AD21" s="3">
        <f t="shared" ref="AD21:AD60" si="12">COUNTIF(AE21:AK21,"×")*2</f>
        <v>0</v>
      </c>
      <c r="AE21" s="2"/>
      <c r="AF21" s="2"/>
      <c r="AG21" s="2"/>
      <c r="AH21" s="2"/>
      <c r="AI21" s="2"/>
      <c r="AJ21" s="2"/>
      <c r="AK21" s="7"/>
      <c r="AL21" s="20">
        <f t="shared" si="7"/>
        <v>21</v>
      </c>
      <c r="AM21" s="3">
        <f t="shared" ref="AM21:AM60" si="13">COUNTIF(AN21:AT21,"×")*3</f>
        <v>0</v>
      </c>
      <c r="AN21" s="2"/>
      <c r="AO21" s="2"/>
      <c r="AP21" s="2"/>
      <c r="AQ21" s="2"/>
      <c r="AR21" s="2"/>
      <c r="AS21" s="2"/>
      <c r="AT21" s="7"/>
    </row>
    <row r="22" spans="1:46" x14ac:dyDescent="0.4">
      <c r="A22" s="53">
        <v>21017</v>
      </c>
      <c r="B22" s="3" t="s">
        <v>78</v>
      </c>
      <c r="C22" s="12">
        <f t="shared" si="10"/>
        <v>83</v>
      </c>
      <c r="D22" s="17"/>
      <c r="E22" s="15">
        <f t="shared" si="1"/>
        <v>36</v>
      </c>
      <c r="F22" s="3">
        <f t="shared" si="2"/>
        <v>6</v>
      </c>
      <c r="G22" s="2"/>
      <c r="H22" s="2"/>
      <c r="I22" s="2" t="s">
        <v>134</v>
      </c>
      <c r="J22" s="2" t="s">
        <v>134</v>
      </c>
      <c r="K22" s="2"/>
      <c r="L22" s="2"/>
      <c r="M22" s="2"/>
      <c r="N22" s="2"/>
      <c r="O22" s="2"/>
      <c r="P22" s="2"/>
      <c r="Q22" s="2"/>
      <c r="R22" s="2"/>
      <c r="S22" s="2"/>
      <c r="T22" s="7"/>
      <c r="U22" s="20">
        <f t="shared" si="3"/>
        <v>18</v>
      </c>
      <c r="V22" s="3">
        <f t="shared" si="11"/>
        <v>0</v>
      </c>
      <c r="W22" s="2"/>
      <c r="X22" s="2"/>
      <c r="Y22" s="2"/>
      <c r="Z22" s="2"/>
      <c r="AA22" s="2"/>
      <c r="AB22" s="7"/>
      <c r="AC22" s="20">
        <f t="shared" si="5"/>
        <v>12</v>
      </c>
      <c r="AD22" s="3">
        <f t="shared" si="12"/>
        <v>2</v>
      </c>
      <c r="AE22" s="2"/>
      <c r="AF22" s="2"/>
      <c r="AG22" s="2" t="s">
        <v>134</v>
      </c>
      <c r="AH22" s="2"/>
      <c r="AI22" s="2"/>
      <c r="AJ22" s="2"/>
      <c r="AK22" s="7"/>
      <c r="AL22" s="20">
        <f t="shared" si="7"/>
        <v>12</v>
      </c>
      <c r="AM22" s="3">
        <f t="shared" si="13"/>
        <v>9</v>
      </c>
      <c r="AN22" s="2"/>
      <c r="AO22" s="2"/>
      <c r="AP22" s="2" t="s">
        <v>134</v>
      </c>
      <c r="AQ22" s="2" t="s">
        <v>134</v>
      </c>
      <c r="AR22" s="2"/>
      <c r="AS22" s="2"/>
      <c r="AT22" s="7" t="s">
        <v>134</v>
      </c>
    </row>
    <row r="23" spans="1:46" x14ac:dyDescent="0.4">
      <c r="A23" s="53">
        <v>21021</v>
      </c>
      <c r="B23" s="3" t="s">
        <v>79</v>
      </c>
      <c r="C23" s="12">
        <f t="shared" si="10"/>
        <v>60</v>
      </c>
      <c r="D23" s="17"/>
      <c r="E23" s="15">
        <f t="shared" si="1"/>
        <v>27</v>
      </c>
      <c r="F23" s="3">
        <f t="shared" si="2"/>
        <v>15</v>
      </c>
      <c r="G23" s="2"/>
      <c r="H23" s="2"/>
      <c r="I23" s="2"/>
      <c r="J23" s="2" t="s">
        <v>134</v>
      </c>
      <c r="K23" s="2"/>
      <c r="L23" s="2" t="s">
        <v>134</v>
      </c>
      <c r="M23" s="2" t="s">
        <v>138</v>
      </c>
      <c r="N23" s="2" t="s">
        <v>134</v>
      </c>
      <c r="O23" s="2"/>
      <c r="P23" s="2"/>
      <c r="Q23" s="2"/>
      <c r="R23" s="2" t="s">
        <v>134</v>
      </c>
      <c r="S23" s="2"/>
      <c r="T23" s="7"/>
      <c r="U23" s="20">
        <f t="shared" si="3"/>
        <v>12</v>
      </c>
      <c r="V23" s="3">
        <f t="shared" si="11"/>
        <v>6</v>
      </c>
      <c r="W23" s="2"/>
      <c r="X23" s="2"/>
      <c r="Y23" s="2" t="s">
        <v>134</v>
      </c>
      <c r="Z23" s="2" t="s">
        <v>134</v>
      </c>
      <c r="AA23" s="2"/>
      <c r="AB23" s="7"/>
      <c r="AC23" s="20">
        <f t="shared" si="5"/>
        <v>10</v>
      </c>
      <c r="AD23" s="3">
        <f t="shared" si="12"/>
        <v>4</v>
      </c>
      <c r="AE23" s="2"/>
      <c r="AF23" s="2"/>
      <c r="AG23" s="2" t="s">
        <v>134</v>
      </c>
      <c r="AH23" s="2"/>
      <c r="AI23" s="2"/>
      <c r="AJ23" s="2" t="s">
        <v>134</v>
      </c>
      <c r="AK23" s="7"/>
      <c r="AL23" s="20">
        <f t="shared" si="7"/>
        <v>6</v>
      </c>
      <c r="AM23" s="3">
        <f t="shared" si="13"/>
        <v>15</v>
      </c>
      <c r="AN23" s="2"/>
      <c r="AO23" s="2"/>
      <c r="AP23" s="2" t="s">
        <v>133</v>
      </c>
      <c r="AQ23" s="2" t="s">
        <v>133</v>
      </c>
      <c r="AR23" s="2" t="s">
        <v>133</v>
      </c>
      <c r="AS23" s="2" t="s">
        <v>133</v>
      </c>
      <c r="AT23" s="7" t="s">
        <v>133</v>
      </c>
    </row>
    <row r="24" spans="1:46" x14ac:dyDescent="0.4">
      <c r="A24" s="53">
        <v>21022</v>
      </c>
      <c r="B24" s="3" t="s">
        <v>80</v>
      </c>
      <c r="C24" s="12">
        <f t="shared" si="10"/>
        <v>85</v>
      </c>
      <c r="D24" s="17"/>
      <c r="E24" s="15">
        <f t="shared" si="1"/>
        <v>30</v>
      </c>
      <c r="F24" s="3">
        <f t="shared" si="2"/>
        <v>12</v>
      </c>
      <c r="G24" s="2"/>
      <c r="H24" s="2"/>
      <c r="I24" s="2"/>
      <c r="J24" s="2"/>
      <c r="K24" s="2"/>
      <c r="L24" s="2" t="s">
        <v>134</v>
      </c>
      <c r="M24" s="2" t="s">
        <v>134</v>
      </c>
      <c r="N24" s="2" t="s">
        <v>139</v>
      </c>
      <c r="O24" s="2"/>
      <c r="P24" s="2"/>
      <c r="Q24" s="2"/>
      <c r="R24" s="2" t="s">
        <v>134</v>
      </c>
      <c r="S24" s="2"/>
      <c r="T24" s="7"/>
      <c r="U24" s="20">
        <f t="shared" si="3"/>
        <v>18</v>
      </c>
      <c r="V24" s="3">
        <f t="shared" si="11"/>
        <v>0</v>
      </c>
      <c r="W24" s="2"/>
      <c r="X24" s="2"/>
      <c r="Y24" s="2"/>
      <c r="Z24" s="2"/>
      <c r="AA24" s="2"/>
      <c r="AB24" s="7"/>
      <c r="AC24" s="20">
        <f t="shared" si="5"/>
        <v>14</v>
      </c>
      <c r="AD24" s="3">
        <f t="shared" si="12"/>
        <v>0</v>
      </c>
      <c r="AE24" s="2"/>
      <c r="AF24" s="2"/>
      <c r="AG24" s="2"/>
      <c r="AH24" s="2"/>
      <c r="AI24" s="2"/>
      <c r="AJ24" s="2"/>
      <c r="AK24" s="7"/>
      <c r="AL24" s="20">
        <f t="shared" si="7"/>
        <v>18</v>
      </c>
      <c r="AM24" s="3">
        <f t="shared" si="13"/>
        <v>3</v>
      </c>
      <c r="AN24" s="2"/>
      <c r="AO24" s="2"/>
      <c r="AP24" s="2" t="s">
        <v>134</v>
      </c>
      <c r="AQ24" s="2"/>
      <c r="AR24" s="2"/>
      <c r="AS24" s="2"/>
      <c r="AT24" s="7"/>
    </row>
    <row r="25" spans="1:46" x14ac:dyDescent="0.4">
      <c r="A25" s="58">
        <v>21023</v>
      </c>
      <c r="B25" s="40" t="s">
        <v>81</v>
      </c>
      <c r="C25" s="41">
        <f>SUM(E25,U25,AC25,AL25,$D$5)</f>
        <v>38</v>
      </c>
      <c r="D25" s="17"/>
      <c r="E25" s="15">
        <f t="shared" si="1"/>
        <v>18</v>
      </c>
      <c r="F25" s="3">
        <f t="shared" si="2"/>
        <v>24</v>
      </c>
      <c r="G25" s="2"/>
      <c r="H25" s="2"/>
      <c r="I25" s="2"/>
      <c r="J25" s="2" t="s">
        <v>134</v>
      </c>
      <c r="K25" s="2"/>
      <c r="L25" s="2" t="s">
        <v>133</v>
      </c>
      <c r="M25" s="2" t="s">
        <v>133</v>
      </c>
      <c r="N25" s="2" t="s">
        <v>133</v>
      </c>
      <c r="O25" s="2" t="s">
        <v>133</v>
      </c>
      <c r="P25" s="2" t="s">
        <v>133</v>
      </c>
      <c r="Q25" s="2" t="s">
        <v>133</v>
      </c>
      <c r="R25" s="2"/>
      <c r="S25" s="2" t="s">
        <v>134</v>
      </c>
      <c r="T25" s="7"/>
      <c r="U25" s="20">
        <f t="shared" si="3"/>
        <v>9</v>
      </c>
      <c r="V25" s="3">
        <f t="shared" si="11"/>
        <v>9</v>
      </c>
      <c r="W25" s="2"/>
      <c r="X25" s="2"/>
      <c r="Y25" s="2" t="s">
        <v>134</v>
      </c>
      <c r="Z25" s="2" t="s">
        <v>134</v>
      </c>
      <c r="AA25" s="2"/>
      <c r="AB25" s="7" t="s">
        <v>134</v>
      </c>
      <c r="AC25" s="20">
        <f t="shared" si="5"/>
        <v>6</v>
      </c>
      <c r="AD25" s="3">
        <f t="shared" si="12"/>
        <v>8</v>
      </c>
      <c r="AE25" s="2"/>
      <c r="AF25" s="2"/>
      <c r="AG25" s="2"/>
      <c r="AH25" s="2" t="s">
        <v>134</v>
      </c>
      <c r="AI25" s="2" t="s">
        <v>134</v>
      </c>
      <c r="AJ25" s="2" t="s">
        <v>134</v>
      </c>
      <c r="AK25" s="7" t="s">
        <v>134</v>
      </c>
      <c r="AL25" s="20">
        <f t="shared" si="7"/>
        <v>0</v>
      </c>
      <c r="AM25" s="3">
        <f t="shared" si="13"/>
        <v>21</v>
      </c>
      <c r="AN25" s="2" t="s">
        <v>133</v>
      </c>
      <c r="AO25" s="2" t="s">
        <v>133</v>
      </c>
      <c r="AP25" s="2" t="s">
        <v>133</v>
      </c>
      <c r="AQ25" s="2" t="s">
        <v>133</v>
      </c>
      <c r="AR25" s="2" t="s">
        <v>133</v>
      </c>
      <c r="AS25" s="2" t="s">
        <v>133</v>
      </c>
      <c r="AT25" s="7" t="s">
        <v>133</v>
      </c>
    </row>
    <row r="26" spans="1:46" x14ac:dyDescent="0.4">
      <c r="A26" s="53">
        <v>21024</v>
      </c>
      <c r="B26" s="3" t="s">
        <v>82</v>
      </c>
      <c r="C26" s="12">
        <f t="shared" si="10"/>
        <v>62</v>
      </c>
      <c r="D26" s="17"/>
      <c r="E26" s="15">
        <f t="shared" si="1"/>
        <v>30</v>
      </c>
      <c r="F26" s="3">
        <f t="shared" si="2"/>
        <v>12</v>
      </c>
      <c r="G26" s="2"/>
      <c r="H26" s="2"/>
      <c r="I26" s="2"/>
      <c r="J26" s="2" t="s">
        <v>134</v>
      </c>
      <c r="K26" s="2"/>
      <c r="L26" s="2"/>
      <c r="M26" s="2" t="s">
        <v>134</v>
      </c>
      <c r="N26" s="2" t="s">
        <v>134</v>
      </c>
      <c r="O26" s="2"/>
      <c r="P26" s="2"/>
      <c r="Q26" s="2"/>
      <c r="R26" s="2"/>
      <c r="S26" s="2" t="s">
        <v>134</v>
      </c>
      <c r="T26" s="7"/>
      <c r="U26" s="20">
        <f t="shared" si="3"/>
        <v>15</v>
      </c>
      <c r="V26" s="3">
        <f t="shared" si="11"/>
        <v>3</v>
      </c>
      <c r="W26" s="2"/>
      <c r="X26" s="2"/>
      <c r="Y26" s="2"/>
      <c r="Z26" s="2" t="s">
        <v>134</v>
      </c>
      <c r="AA26" s="2"/>
      <c r="AB26" s="7"/>
      <c r="AC26" s="20">
        <f t="shared" si="5"/>
        <v>12</v>
      </c>
      <c r="AD26" s="3">
        <f t="shared" si="12"/>
        <v>2</v>
      </c>
      <c r="AE26" s="2"/>
      <c r="AF26" s="2"/>
      <c r="AG26" s="2" t="s">
        <v>134</v>
      </c>
      <c r="AH26" s="2"/>
      <c r="AI26" s="2"/>
      <c r="AJ26" s="2"/>
      <c r="AK26" s="7"/>
      <c r="AL26" s="20">
        <f t="shared" si="7"/>
        <v>0</v>
      </c>
      <c r="AM26" s="3">
        <f t="shared" si="13"/>
        <v>21</v>
      </c>
      <c r="AN26" s="2" t="s">
        <v>133</v>
      </c>
      <c r="AO26" s="2" t="s">
        <v>133</v>
      </c>
      <c r="AP26" s="2" t="s">
        <v>133</v>
      </c>
      <c r="AQ26" s="2" t="s">
        <v>133</v>
      </c>
      <c r="AR26" s="2" t="s">
        <v>133</v>
      </c>
      <c r="AS26" s="2" t="s">
        <v>133</v>
      </c>
      <c r="AT26" s="7" t="s">
        <v>133</v>
      </c>
    </row>
    <row r="27" spans="1:46" x14ac:dyDescent="0.4">
      <c r="A27" s="53">
        <v>21025</v>
      </c>
      <c r="B27" s="3" t="s">
        <v>83</v>
      </c>
      <c r="C27" s="12">
        <f t="shared" si="10"/>
        <v>100</v>
      </c>
      <c r="D27" s="17"/>
      <c r="E27" s="15">
        <f t="shared" si="1"/>
        <v>42</v>
      </c>
      <c r="F27" s="3">
        <f t="shared" si="2"/>
        <v>0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/>
      <c r="U27" s="20">
        <f t="shared" si="3"/>
        <v>18</v>
      </c>
      <c r="V27" s="3">
        <f t="shared" si="11"/>
        <v>0</v>
      </c>
      <c r="W27" s="2"/>
      <c r="X27" s="2"/>
      <c r="Y27" s="2"/>
      <c r="Z27" s="2"/>
      <c r="AA27" s="2"/>
      <c r="AB27" s="7"/>
      <c r="AC27" s="20">
        <f t="shared" si="5"/>
        <v>14</v>
      </c>
      <c r="AD27" s="3">
        <f t="shared" si="12"/>
        <v>0</v>
      </c>
      <c r="AE27" s="2"/>
      <c r="AF27" s="2"/>
      <c r="AG27" s="2"/>
      <c r="AH27" s="2"/>
      <c r="AI27" s="2"/>
      <c r="AJ27" s="2"/>
      <c r="AK27" s="7"/>
      <c r="AL27" s="20">
        <f t="shared" si="7"/>
        <v>21</v>
      </c>
      <c r="AM27" s="3">
        <f t="shared" si="13"/>
        <v>0</v>
      </c>
      <c r="AN27" s="2"/>
      <c r="AO27" s="2"/>
      <c r="AP27" s="2"/>
      <c r="AQ27" s="2"/>
      <c r="AR27" s="2"/>
      <c r="AS27" s="2"/>
      <c r="AT27" s="7"/>
    </row>
    <row r="28" spans="1:46" x14ac:dyDescent="0.4">
      <c r="A28" s="53">
        <v>21027</v>
      </c>
      <c r="B28" s="3" t="s">
        <v>84</v>
      </c>
      <c r="C28" s="12">
        <f t="shared" si="10"/>
        <v>58</v>
      </c>
      <c r="D28" s="17"/>
      <c r="E28" s="15">
        <f t="shared" si="1"/>
        <v>24</v>
      </c>
      <c r="F28" s="3">
        <f t="shared" si="2"/>
        <v>18</v>
      </c>
      <c r="G28" s="2"/>
      <c r="H28" s="2"/>
      <c r="I28" s="2"/>
      <c r="J28" s="2" t="s">
        <v>134</v>
      </c>
      <c r="K28" s="2"/>
      <c r="L28" s="2" t="s">
        <v>134</v>
      </c>
      <c r="M28" s="2" t="s">
        <v>134</v>
      </c>
      <c r="N28" s="2" t="s">
        <v>134</v>
      </c>
      <c r="O28" s="2"/>
      <c r="P28" s="2"/>
      <c r="Q28" s="2" t="s">
        <v>134</v>
      </c>
      <c r="R28" s="2"/>
      <c r="S28" s="2" t="s">
        <v>134</v>
      </c>
      <c r="T28" s="7"/>
      <c r="U28" s="20">
        <f t="shared" si="3"/>
        <v>9</v>
      </c>
      <c r="V28" s="3">
        <f t="shared" si="11"/>
        <v>9</v>
      </c>
      <c r="W28" s="2"/>
      <c r="X28" s="2"/>
      <c r="Y28" s="2" t="s">
        <v>134</v>
      </c>
      <c r="Z28" s="2" t="s">
        <v>134</v>
      </c>
      <c r="AA28" s="2"/>
      <c r="AB28" s="7" t="s">
        <v>134</v>
      </c>
      <c r="AC28" s="20">
        <f t="shared" si="5"/>
        <v>14</v>
      </c>
      <c r="AD28" s="3">
        <f t="shared" si="12"/>
        <v>0</v>
      </c>
      <c r="AE28" s="2"/>
      <c r="AF28" s="2"/>
      <c r="AG28" s="2"/>
      <c r="AH28" s="2"/>
      <c r="AI28" s="2"/>
      <c r="AJ28" s="2"/>
      <c r="AK28" s="7"/>
      <c r="AL28" s="20">
        <f t="shared" si="7"/>
        <v>6</v>
      </c>
      <c r="AM28" s="3">
        <f t="shared" si="13"/>
        <v>15</v>
      </c>
      <c r="AN28" s="2" t="s">
        <v>133</v>
      </c>
      <c r="AO28" s="2"/>
      <c r="AP28" s="2"/>
      <c r="AQ28" s="2" t="s">
        <v>133</v>
      </c>
      <c r="AR28" s="2" t="s">
        <v>133</v>
      </c>
      <c r="AS28" s="2" t="s">
        <v>133</v>
      </c>
      <c r="AT28" s="7" t="s">
        <v>133</v>
      </c>
    </row>
    <row r="29" spans="1:46" x14ac:dyDescent="0.4">
      <c r="A29" s="53">
        <v>21030</v>
      </c>
      <c r="B29" s="3" t="s">
        <v>85</v>
      </c>
      <c r="C29" s="12">
        <f t="shared" si="10"/>
        <v>65</v>
      </c>
      <c r="D29" s="17"/>
      <c r="E29" s="15">
        <f t="shared" si="1"/>
        <v>30</v>
      </c>
      <c r="F29" s="3">
        <f t="shared" si="2"/>
        <v>12</v>
      </c>
      <c r="G29" s="2"/>
      <c r="H29" s="2"/>
      <c r="I29" s="2"/>
      <c r="J29" s="2"/>
      <c r="K29" s="2"/>
      <c r="L29" s="2" t="s">
        <v>134</v>
      </c>
      <c r="M29" s="2" t="s">
        <v>134</v>
      </c>
      <c r="N29" s="2" t="s">
        <v>134</v>
      </c>
      <c r="O29" s="2"/>
      <c r="P29" s="2"/>
      <c r="Q29" s="2"/>
      <c r="R29" s="2"/>
      <c r="S29" s="2" t="s">
        <v>134</v>
      </c>
      <c r="T29" s="7"/>
      <c r="U29" s="20">
        <f t="shared" si="3"/>
        <v>18</v>
      </c>
      <c r="V29" s="3">
        <f t="shared" si="11"/>
        <v>0</v>
      </c>
      <c r="W29" s="2"/>
      <c r="X29" s="2"/>
      <c r="Y29" s="2"/>
      <c r="Z29" s="2"/>
      <c r="AA29" s="2"/>
      <c r="AB29" s="7"/>
      <c r="AC29" s="20">
        <f t="shared" si="5"/>
        <v>12</v>
      </c>
      <c r="AD29" s="3">
        <f t="shared" si="12"/>
        <v>2</v>
      </c>
      <c r="AE29" s="2"/>
      <c r="AF29" s="2"/>
      <c r="AG29" s="2"/>
      <c r="AH29" s="2"/>
      <c r="AI29" s="2" t="s">
        <v>140</v>
      </c>
      <c r="AJ29" s="2"/>
      <c r="AK29" s="7"/>
      <c r="AL29" s="20">
        <f t="shared" si="7"/>
        <v>0</v>
      </c>
      <c r="AM29" s="3">
        <f t="shared" si="13"/>
        <v>21</v>
      </c>
      <c r="AN29" s="2" t="s">
        <v>133</v>
      </c>
      <c r="AO29" s="2" t="s">
        <v>133</v>
      </c>
      <c r="AP29" s="2" t="s">
        <v>133</v>
      </c>
      <c r="AQ29" s="2" t="s">
        <v>133</v>
      </c>
      <c r="AR29" s="2" t="s">
        <v>133</v>
      </c>
      <c r="AS29" s="2" t="s">
        <v>133</v>
      </c>
      <c r="AT29" s="7" t="s">
        <v>133</v>
      </c>
    </row>
    <row r="30" spans="1:46" x14ac:dyDescent="0.4">
      <c r="A30" s="53">
        <v>21032</v>
      </c>
      <c r="B30" s="3" t="s">
        <v>86</v>
      </c>
      <c r="C30" s="12">
        <f t="shared" si="10"/>
        <v>100</v>
      </c>
      <c r="D30" s="17"/>
      <c r="E30" s="15">
        <f t="shared" si="1"/>
        <v>42</v>
      </c>
      <c r="F30" s="3">
        <f t="shared" si="2"/>
        <v>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/>
      <c r="U30" s="20">
        <f t="shared" si="3"/>
        <v>18</v>
      </c>
      <c r="V30" s="3">
        <f t="shared" si="11"/>
        <v>0</v>
      </c>
      <c r="W30" s="2"/>
      <c r="X30" s="2"/>
      <c r="Y30" s="2"/>
      <c r="Z30" s="2"/>
      <c r="AA30" s="2"/>
      <c r="AB30" s="7"/>
      <c r="AC30" s="20">
        <f t="shared" si="5"/>
        <v>14</v>
      </c>
      <c r="AD30" s="3">
        <f t="shared" si="12"/>
        <v>0</v>
      </c>
      <c r="AE30" s="2"/>
      <c r="AF30" s="2"/>
      <c r="AG30" s="2"/>
      <c r="AH30" s="2"/>
      <c r="AI30" s="2"/>
      <c r="AJ30" s="2"/>
      <c r="AK30" s="7"/>
      <c r="AL30" s="20">
        <f t="shared" si="7"/>
        <v>21</v>
      </c>
      <c r="AM30" s="3">
        <f t="shared" si="13"/>
        <v>0</v>
      </c>
      <c r="AN30" s="2"/>
      <c r="AO30" s="2"/>
      <c r="AP30" s="2"/>
      <c r="AQ30" s="2"/>
      <c r="AR30" s="2"/>
      <c r="AS30" s="2"/>
      <c r="AT30" s="7"/>
    </row>
    <row r="31" spans="1:46" x14ac:dyDescent="0.4">
      <c r="A31" s="53">
        <v>21033</v>
      </c>
      <c r="B31" s="3" t="s">
        <v>87</v>
      </c>
      <c r="C31" s="12">
        <f t="shared" si="10"/>
        <v>89</v>
      </c>
      <c r="D31" s="17"/>
      <c r="E31" s="15">
        <f t="shared" si="1"/>
        <v>36</v>
      </c>
      <c r="F31" s="3">
        <f t="shared" si="2"/>
        <v>6</v>
      </c>
      <c r="G31" s="2"/>
      <c r="H31" s="2"/>
      <c r="I31" s="2"/>
      <c r="J31" s="2"/>
      <c r="K31" s="2"/>
      <c r="L31" s="2"/>
      <c r="M31" s="2" t="s">
        <v>134</v>
      </c>
      <c r="N31" s="2" t="s">
        <v>138</v>
      </c>
      <c r="O31" s="2"/>
      <c r="P31" s="2"/>
      <c r="Q31" s="2"/>
      <c r="R31" s="2"/>
      <c r="S31" s="2"/>
      <c r="T31" s="7"/>
      <c r="U31" s="20">
        <f t="shared" si="3"/>
        <v>18</v>
      </c>
      <c r="V31" s="3">
        <f t="shared" si="11"/>
        <v>0</v>
      </c>
      <c r="W31" s="2"/>
      <c r="X31" s="2"/>
      <c r="Y31" s="2"/>
      <c r="Z31" s="2"/>
      <c r="AA31" s="2"/>
      <c r="AB31" s="7"/>
      <c r="AC31" s="20">
        <f t="shared" si="5"/>
        <v>12</v>
      </c>
      <c r="AD31" s="3">
        <f t="shared" si="12"/>
        <v>2</v>
      </c>
      <c r="AE31" s="2"/>
      <c r="AF31" s="2"/>
      <c r="AG31" s="2" t="s">
        <v>134</v>
      </c>
      <c r="AH31" s="2"/>
      <c r="AI31" s="2"/>
      <c r="AJ31" s="2"/>
      <c r="AK31" s="7"/>
      <c r="AL31" s="20">
        <f t="shared" si="7"/>
        <v>18</v>
      </c>
      <c r="AM31" s="3">
        <f t="shared" si="13"/>
        <v>3</v>
      </c>
      <c r="AN31" s="2" t="s">
        <v>134</v>
      </c>
      <c r="AO31" s="2"/>
      <c r="AP31" s="2"/>
      <c r="AQ31" s="2"/>
      <c r="AR31" s="2"/>
      <c r="AS31" s="2"/>
      <c r="AT31" s="7"/>
    </row>
    <row r="32" spans="1:46" x14ac:dyDescent="0.4">
      <c r="A32" s="53">
        <v>21035</v>
      </c>
      <c r="B32" s="3" t="s">
        <v>88</v>
      </c>
      <c r="C32" s="12">
        <f t="shared" si="10"/>
        <v>61</v>
      </c>
      <c r="D32" s="17"/>
      <c r="E32" s="15">
        <f t="shared" si="1"/>
        <v>30</v>
      </c>
      <c r="F32" s="3">
        <f>COUNTIF(G32:T32,"×")*3</f>
        <v>12</v>
      </c>
      <c r="G32" s="2"/>
      <c r="H32" s="2"/>
      <c r="I32" s="2"/>
      <c r="J32" s="2" t="s">
        <v>134</v>
      </c>
      <c r="K32" s="2"/>
      <c r="L32" s="2" t="s">
        <v>134</v>
      </c>
      <c r="M32" s="2" t="s">
        <v>134</v>
      </c>
      <c r="N32" s="2"/>
      <c r="O32" s="2"/>
      <c r="P32" s="2"/>
      <c r="Q32" s="2"/>
      <c r="R32" s="2"/>
      <c r="S32" s="2" t="s">
        <v>134</v>
      </c>
      <c r="T32" s="7"/>
      <c r="U32" s="20">
        <f t="shared" si="3"/>
        <v>12</v>
      </c>
      <c r="V32" s="3">
        <f t="shared" si="11"/>
        <v>6</v>
      </c>
      <c r="W32" s="2"/>
      <c r="X32" s="2"/>
      <c r="Y32" s="2"/>
      <c r="Z32" s="2" t="s">
        <v>134</v>
      </c>
      <c r="AA32" s="2"/>
      <c r="AB32" s="7" t="s">
        <v>134</v>
      </c>
      <c r="AC32" s="20">
        <f t="shared" si="5"/>
        <v>14</v>
      </c>
      <c r="AD32" s="3">
        <f t="shared" si="12"/>
        <v>0</v>
      </c>
      <c r="AE32" s="2"/>
      <c r="AF32" s="2"/>
      <c r="AG32" s="2"/>
      <c r="AH32" s="2"/>
      <c r="AI32" s="2"/>
      <c r="AJ32" s="2"/>
      <c r="AK32" s="7"/>
      <c r="AL32" s="20">
        <f t="shared" si="7"/>
        <v>0</v>
      </c>
      <c r="AM32" s="3">
        <f t="shared" si="13"/>
        <v>21</v>
      </c>
      <c r="AN32" s="2" t="s">
        <v>133</v>
      </c>
      <c r="AO32" s="2" t="s">
        <v>133</v>
      </c>
      <c r="AP32" s="2" t="s">
        <v>133</v>
      </c>
      <c r="AQ32" s="2" t="s">
        <v>133</v>
      </c>
      <c r="AR32" s="2" t="s">
        <v>133</v>
      </c>
      <c r="AS32" s="2" t="s">
        <v>133</v>
      </c>
      <c r="AT32" s="7" t="s">
        <v>133</v>
      </c>
    </row>
    <row r="33" spans="1:46" x14ac:dyDescent="0.4">
      <c r="A33" s="53">
        <v>21039</v>
      </c>
      <c r="B33" s="3" t="s">
        <v>89</v>
      </c>
      <c r="C33" s="12">
        <f t="shared" si="10"/>
        <v>92</v>
      </c>
      <c r="D33" s="17"/>
      <c r="E33" s="15">
        <f t="shared" si="1"/>
        <v>39</v>
      </c>
      <c r="F33" s="3">
        <f>COUNTIF(G33:T33,"×")*3</f>
        <v>3</v>
      </c>
      <c r="G33" s="2"/>
      <c r="H33" s="2"/>
      <c r="I33" s="2"/>
      <c r="J33" s="2" t="s">
        <v>134</v>
      </c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3"/>
        <v>18</v>
      </c>
      <c r="V33" s="3">
        <f t="shared" si="11"/>
        <v>0</v>
      </c>
      <c r="W33" s="2"/>
      <c r="X33" s="2"/>
      <c r="Y33" s="2"/>
      <c r="Z33" s="2"/>
      <c r="AA33" s="2"/>
      <c r="AB33" s="7"/>
      <c r="AC33" s="20">
        <f t="shared" si="5"/>
        <v>12</v>
      </c>
      <c r="AD33" s="3">
        <f t="shared" si="12"/>
        <v>2</v>
      </c>
      <c r="AE33" s="2"/>
      <c r="AF33" s="2"/>
      <c r="AG33" s="2"/>
      <c r="AH33" s="2"/>
      <c r="AI33" s="2" t="s">
        <v>136</v>
      </c>
      <c r="AJ33" s="2"/>
      <c r="AK33" s="7"/>
      <c r="AL33" s="20">
        <f t="shared" si="7"/>
        <v>18</v>
      </c>
      <c r="AM33" s="3">
        <f t="shared" si="13"/>
        <v>3</v>
      </c>
      <c r="AN33" s="2"/>
      <c r="AO33" s="2"/>
      <c r="AP33" s="2"/>
      <c r="AQ33" s="2"/>
      <c r="AR33" s="2"/>
      <c r="AS33" s="2" t="s">
        <v>134</v>
      </c>
      <c r="AT33" s="7"/>
    </row>
    <row r="34" spans="1:46" x14ac:dyDescent="0.4">
      <c r="A34" s="53">
        <v>21040</v>
      </c>
      <c r="B34" s="3" t="s">
        <v>90</v>
      </c>
      <c r="C34" s="12">
        <f t="shared" si="10"/>
        <v>100</v>
      </c>
      <c r="D34" s="17"/>
      <c r="E34" s="15">
        <f t="shared" si="1"/>
        <v>42</v>
      </c>
      <c r="F34" s="3">
        <f>COUNTIF(G34:T34,"×")*3</f>
        <v>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7"/>
      <c r="U34" s="20">
        <f t="shared" si="3"/>
        <v>18</v>
      </c>
      <c r="V34" s="3">
        <f t="shared" si="11"/>
        <v>0</v>
      </c>
      <c r="W34" s="2"/>
      <c r="X34" s="2"/>
      <c r="Y34" s="2"/>
      <c r="Z34" s="2"/>
      <c r="AA34" s="2"/>
      <c r="AB34" s="7"/>
      <c r="AC34" s="20">
        <f t="shared" si="5"/>
        <v>14</v>
      </c>
      <c r="AD34" s="3">
        <f t="shared" si="12"/>
        <v>0</v>
      </c>
      <c r="AE34" s="2"/>
      <c r="AF34" s="2"/>
      <c r="AG34" s="2"/>
      <c r="AH34" s="2"/>
      <c r="AI34" s="2"/>
      <c r="AJ34" s="2"/>
      <c r="AK34" s="7"/>
      <c r="AL34" s="20">
        <f t="shared" si="7"/>
        <v>21</v>
      </c>
      <c r="AM34" s="3">
        <f t="shared" si="13"/>
        <v>0</v>
      </c>
      <c r="AN34" s="2"/>
      <c r="AO34" s="2"/>
      <c r="AP34" s="2"/>
      <c r="AQ34" s="2"/>
      <c r="AR34" s="2"/>
      <c r="AS34" s="2"/>
      <c r="AT34" s="7"/>
    </row>
    <row r="35" spans="1:46" x14ac:dyDescent="0.4">
      <c r="A35" s="53">
        <v>21042</v>
      </c>
      <c r="B35" s="40" t="s">
        <v>91</v>
      </c>
      <c r="C35" s="12">
        <f t="shared" si="10"/>
        <v>100</v>
      </c>
      <c r="D35" s="17"/>
      <c r="E35" s="15">
        <f t="shared" si="1"/>
        <v>42</v>
      </c>
      <c r="F35" s="3">
        <f t="shared" ref="F35:F59" si="14">COUNTIF(G35:T35,"×")*3</f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7"/>
      <c r="U35" s="20">
        <f t="shared" si="3"/>
        <v>18</v>
      </c>
      <c r="V35" s="3">
        <f t="shared" si="11"/>
        <v>0</v>
      </c>
      <c r="W35" s="2"/>
      <c r="X35" s="2"/>
      <c r="Y35" s="2"/>
      <c r="Z35" s="2"/>
      <c r="AA35" s="2"/>
      <c r="AB35" s="7"/>
      <c r="AC35" s="20">
        <f t="shared" si="5"/>
        <v>14</v>
      </c>
      <c r="AD35" s="3">
        <f t="shared" si="12"/>
        <v>0</v>
      </c>
      <c r="AE35" s="2"/>
      <c r="AF35" s="2"/>
      <c r="AG35" s="2"/>
      <c r="AH35" s="2"/>
      <c r="AI35" s="2"/>
      <c r="AJ35" s="2"/>
      <c r="AK35" s="7"/>
      <c r="AL35" s="20">
        <f t="shared" si="7"/>
        <v>21</v>
      </c>
      <c r="AM35" s="3">
        <f t="shared" si="13"/>
        <v>0</v>
      </c>
      <c r="AN35" s="2"/>
      <c r="AO35" s="2"/>
      <c r="AP35" s="2"/>
      <c r="AQ35" s="2"/>
      <c r="AR35" s="2"/>
      <c r="AS35" s="2"/>
      <c r="AT35" s="7"/>
    </row>
    <row r="36" spans="1:46" x14ac:dyDescent="0.4">
      <c r="A36" s="53">
        <v>21045</v>
      </c>
      <c r="B36" s="3" t="s">
        <v>92</v>
      </c>
      <c r="C36" s="12">
        <f t="shared" si="10"/>
        <v>91</v>
      </c>
      <c r="D36" s="17"/>
      <c r="E36" s="15">
        <f t="shared" si="1"/>
        <v>39</v>
      </c>
      <c r="F36" s="3">
        <f t="shared" si="14"/>
        <v>3</v>
      </c>
      <c r="G36" s="2"/>
      <c r="H36" s="2"/>
      <c r="I36" s="2"/>
      <c r="J36" s="2" t="s">
        <v>134</v>
      </c>
      <c r="K36" s="2"/>
      <c r="L36" s="2"/>
      <c r="M36" s="2"/>
      <c r="N36" s="2"/>
      <c r="O36" s="2"/>
      <c r="P36" s="2"/>
      <c r="Q36" s="2"/>
      <c r="R36" s="2"/>
      <c r="S36" s="2"/>
      <c r="T36" s="7"/>
      <c r="U36" s="20">
        <f t="shared" si="3"/>
        <v>12</v>
      </c>
      <c r="V36" s="3">
        <f t="shared" si="11"/>
        <v>6</v>
      </c>
      <c r="W36" s="2"/>
      <c r="X36" s="2"/>
      <c r="Y36" s="2" t="s">
        <v>134</v>
      </c>
      <c r="Z36" s="2" t="s">
        <v>134</v>
      </c>
      <c r="AA36" s="2"/>
      <c r="AB36" s="7"/>
      <c r="AC36" s="20">
        <f t="shared" si="5"/>
        <v>14</v>
      </c>
      <c r="AD36" s="3">
        <f t="shared" si="12"/>
        <v>0</v>
      </c>
      <c r="AE36" s="2"/>
      <c r="AF36" s="2"/>
      <c r="AG36" s="2"/>
      <c r="AH36" s="2"/>
      <c r="AI36" s="2"/>
      <c r="AJ36" s="2"/>
      <c r="AK36" s="7"/>
      <c r="AL36" s="20">
        <f t="shared" si="7"/>
        <v>21</v>
      </c>
      <c r="AM36" s="3">
        <f t="shared" si="13"/>
        <v>0</v>
      </c>
      <c r="AN36" s="2"/>
      <c r="AO36" s="2"/>
      <c r="AP36" s="2"/>
      <c r="AQ36" s="2"/>
      <c r="AR36" s="2"/>
      <c r="AS36" s="2"/>
      <c r="AT36" s="7"/>
    </row>
    <row r="37" spans="1:46" x14ac:dyDescent="0.4">
      <c r="A37" s="53">
        <v>21048</v>
      </c>
      <c r="B37" s="3" t="s">
        <v>93</v>
      </c>
      <c r="C37" s="12">
        <f t="shared" si="10"/>
        <v>85</v>
      </c>
      <c r="D37" s="17"/>
      <c r="E37" s="15">
        <f t="shared" si="1"/>
        <v>30</v>
      </c>
      <c r="F37" s="3">
        <f t="shared" si="14"/>
        <v>12</v>
      </c>
      <c r="G37" s="2"/>
      <c r="H37" s="2"/>
      <c r="I37" s="2"/>
      <c r="J37" s="2" t="s">
        <v>134</v>
      </c>
      <c r="K37" s="2"/>
      <c r="L37" s="2" t="s">
        <v>134</v>
      </c>
      <c r="M37" s="2" t="s">
        <v>134</v>
      </c>
      <c r="N37" s="2" t="s">
        <v>134</v>
      </c>
      <c r="O37" s="2"/>
      <c r="P37" s="2"/>
      <c r="Q37" s="2"/>
      <c r="R37" s="2"/>
      <c r="S37" s="2"/>
      <c r="T37" s="7"/>
      <c r="U37" s="20">
        <f t="shared" si="3"/>
        <v>15</v>
      </c>
      <c r="V37" s="3">
        <f t="shared" si="11"/>
        <v>3</v>
      </c>
      <c r="W37" s="2"/>
      <c r="X37" s="2"/>
      <c r="Y37" s="2"/>
      <c r="Z37" s="2" t="s">
        <v>134</v>
      </c>
      <c r="AA37" s="2"/>
      <c r="AB37" s="7"/>
      <c r="AC37" s="20">
        <f t="shared" si="5"/>
        <v>14</v>
      </c>
      <c r="AD37" s="3">
        <f t="shared" si="12"/>
        <v>0</v>
      </c>
      <c r="AE37" s="2"/>
      <c r="AF37" s="2"/>
      <c r="AG37" s="2"/>
      <c r="AH37" s="2"/>
      <c r="AI37" s="2"/>
      <c r="AJ37" s="2"/>
      <c r="AK37" s="7"/>
      <c r="AL37" s="20">
        <f t="shared" si="7"/>
        <v>21</v>
      </c>
      <c r="AM37" s="3">
        <f t="shared" si="13"/>
        <v>0</v>
      </c>
      <c r="AN37" s="2"/>
      <c r="AO37" s="2"/>
      <c r="AP37" s="2"/>
      <c r="AQ37" s="2"/>
      <c r="AR37" s="2"/>
      <c r="AS37" s="2"/>
      <c r="AT37" s="7"/>
    </row>
    <row r="38" spans="1:46" x14ac:dyDescent="0.4">
      <c r="A38" s="53">
        <v>21052</v>
      </c>
      <c r="B38" s="3" t="s">
        <v>94</v>
      </c>
      <c r="C38" s="12">
        <f t="shared" si="10"/>
        <v>42</v>
      </c>
      <c r="D38" s="17"/>
      <c r="E38" s="15">
        <f t="shared" si="1"/>
        <v>15</v>
      </c>
      <c r="F38" s="3">
        <f t="shared" si="14"/>
        <v>27</v>
      </c>
      <c r="G38" s="2" t="s">
        <v>134</v>
      </c>
      <c r="H38" s="2" t="s">
        <v>134</v>
      </c>
      <c r="I38" s="2" t="s">
        <v>134</v>
      </c>
      <c r="J38" s="2" t="s">
        <v>134</v>
      </c>
      <c r="K38" s="2"/>
      <c r="L38" s="2" t="s">
        <v>134</v>
      </c>
      <c r="M38" s="2" t="s">
        <v>134</v>
      </c>
      <c r="N38" s="2" t="s">
        <v>134</v>
      </c>
      <c r="O38" s="2" t="s">
        <v>134</v>
      </c>
      <c r="P38" s="2"/>
      <c r="Q38" s="2" t="s">
        <v>134</v>
      </c>
      <c r="R38" s="2"/>
      <c r="S38" s="2"/>
      <c r="T38" s="7"/>
      <c r="U38" s="20">
        <f t="shared" si="3"/>
        <v>12</v>
      </c>
      <c r="V38" s="3">
        <f t="shared" si="11"/>
        <v>6</v>
      </c>
      <c r="W38" s="2"/>
      <c r="X38" s="2"/>
      <c r="Y38" s="2" t="s">
        <v>134</v>
      </c>
      <c r="Z38" s="2" t="s">
        <v>134</v>
      </c>
      <c r="AA38" s="2"/>
      <c r="AB38" s="7"/>
      <c r="AC38" s="20">
        <f t="shared" si="5"/>
        <v>10</v>
      </c>
      <c r="AD38" s="3">
        <f t="shared" si="12"/>
        <v>4</v>
      </c>
      <c r="AE38" s="2"/>
      <c r="AF38" s="2"/>
      <c r="AG38" s="2" t="s">
        <v>137</v>
      </c>
      <c r="AH38" s="2"/>
      <c r="AI38" s="2"/>
      <c r="AJ38" s="2" t="s">
        <v>134</v>
      </c>
      <c r="AK38" s="7"/>
      <c r="AL38" s="20">
        <f t="shared" si="7"/>
        <v>0</v>
      </c>
      <c r="AM38" s="3">
        <f t="shared" si="13"/>
        <v>21</v>
      </c>
      <c r="AN38" s="2" t="s">
        <v>133</v>
      </c>
      <c r="AO38" s="2" t="s">
        <v>133</v>
      </c>
      <c r="AP38" s="2" t="s">
        <v>133</v>
      </c>
      <c r="AQ38" s="2" t="s">
        <v>133</v>
      </c>
      <c r="AR38" s="2" t="s">
        <v>133</v>
      </c>
      <c r="AS38" s="2" t="s">
        <v>133</v>
      </c>
      <c r="AT38" s="7" t="s">
        <v>133</v>
      </c>
    </row>
    <row r="39" spans="1:46" x14ac:dyDescent="0.4">
      <c r="A39" s="53">
        <v>21053</v>
      </c>
      <c r="B39" s="3" t="s">
        <v>95</v>
      </c>
      <c r="C39" s="12">
        <f t="shared" si="10"/>
        <v>66</v>
      </c>
      <c r="D39" s="17"/>
      <c r="E39" s="15">
        <f t="shared" si="1"/>
        <v>36</v>
      </c>
      <c r="F39" s="3">
        <f t="shared" si="14"/>
        <v>6</v>
      </c>
      <c r="G39" s="2"/>
      <c r="H39" s="2"/>
      <c r="I39" s="2"/>
      <c r="J39" s="2" t="s">
        <v>134</v>
      </c>
      <c r="K39" s="2"/>
      <c r="L39" s="2" t="s">
        <v>134</v>
      </c>
      <c r="M39" s="2"/>
      <c r="N39" s="2"/>
      <c r="O39" s="2"/>
      <c r="P39" s="2"/>
      <c r="Q39" s="2"/>
      <c r="R39" s="2"/>
      <c r="S39" s="2"/>
      <c r="T39" s="7"/>
      <c r="U39" s="20">
        <f t="shared" si="3"/>
        <v>15</v>
      </c>
      <c r="V39" s="3">
        <f t="shared" si="11"/>
        <v>3</v>
      </c>
      <c r="W39" s="2" t="s">
        <v>135</v>
      </c>
      <c r="X39" s="2"/>
      <c r="Y39" s="2"/>
      <c r="Z39" s="2"/>
      <c r="AA39" s="2"/>
      <c r="AB39" s="7"/>
      <c r="AC39" s="20">
        <f t="shared" si="5"/>
        <v>10</v>
      </c>
      <c r="AD39" s="3">
        <f t="shared" si="12"/>
        <v>4</v>
      </c>
      <c r="AE39" s="2" t="s">
        <v>134</v>
      </c>
      <c r="AF39" s="2"/>
      <c r="AG39" s="2"/>
      <c r="AH39" s="2"/>
      <c r="AI39" s="2"/>
      <c r="AJ39" s="2"/>
      <c r="AK39" s="7" t="s">
        <v>134</v>
      </c>
      <c r="AL39" s="20">
        <f t="shared" si="7"/>
        <v>0</v>
      </c>
      <c r="AM39" s="3">
        <f t="shared" si="13"/>
        <v>21</v>
      </c>
      <c r="AN39" s="2" t="s">
        <v>133</v>
      </c>
      <c r="AO39" s="2" t="s">
        <v>133</v>
      </c>
      <c r="AP39" s="2" t="s">
        <v>133</v>
      </c>
      <c r="AQ39" s="2" t="s">
        <v>133</v>
      </c>
      <c r="AR39" s="2" t="s">
        <v>133</v>
      </c>
      <c r="AS39" s="2" t="s">
        <v>133</v>
      </c>
      <c r="AT39" s="7" t="s">
        <v>133</v>
      </c>
    </row>
    <row r="40" spans="1:46" x14ac:dyDescent="0.4">
      <c r="A40" s="53">
        <v>21054</v>
      </c>
      <c r="B40" s="3" t="s">
        <v>96</v>
      </c>
      <c r="C40" s="12">
        <f t="shared" si="10"/>
        <v>71</v>
      </c>
      <c r="D40" s="17"/>
      <c r="E40" s="15">
        <f t="shared" si="1"/>
        <v>36</v>
      </c>
      <c r="F40" s="3">
        <f t="shared" si="14"/>
        <v>6</v>
      </c>
      <c r="G40" s="2" t="s">
        <v>134</v>
      </c>
      <c r="H40" s="2"/>
      <c r="I40" s="2"/>
      <c r="J40" s="2" t="s">
        <v>134</v>
      </c>
      <c r="K40" s="2"/>
      <c r="L40" s="2"/>
      <c r="M40" s="2"/>
      <c r="N40" s="2"/>
      <c r="O40" s="2"/>
      <c r="P40" s="2"/>
      <c r="Q40" s="2"/>
      <c r="R40" s="2"/>
      <c r="S40" s="2"/>
      <c r="T40" s="7"/>
      <c r="U40" s="20">
        <f t="shared" si="3"/>
        <v>18</v>
      </c>
      <c r="V40" s="3">
        <f t="shared" si="11"/>
        <v>0</v>
      </c>
      <c r="W40" s="2"/>
      <c r="X40" s="2"/>
      <c r="Y40" s="2"/>
      <c r="Z40" s="2"/>
      <c r="AA40" s="2"/>
      <c r="AB40" s="7"/>
      <c r="AC40" s="20">
        <f t="shared" si="5"/>
        <v>12</v>
      </c>
      <c r="AD40" s="3">
        <f t="shared" si="12"/>
        <v>2</v>
      </c>
      <c r="AE40" s="2"/>
      <c r="AF40" s="2"/>
      <c r="AG40" s="2" t="s">
        <v>134</v>
      </c>
      <c r="AH40" s="2"/>
      <c r="AI40" s="2"/>
      <c r="AJ40" s="2"/>
      <c r="AK40" s="7"/>
      <c r="AL40" s="20">
        <f t="shared" si="7"/>
        <v>0</v>
      </c>
      <c r="AM40" s="3">
        <f t="shared" si="13"/>
        <v>21</v>
      </c>
      <c r="AN40" s="2" t="s">
        <v>134</v>
      </c>
      <c r="AO40" s="2" t="s">
        <v>134</v>
      </c>
      <c r="AP40" s="2" t="s">
        <v>134</v>
      </c>
      <c r="AQ40" s="2" t="s">
        <v>134</v>
      </c>
      <c r="AR40" s="2" t="s">
        <v>134</v>
      </c>
      <c r="AS40" s="2" t="s">
        <v>134</v>
      </c>
      <c r="AT40" s="7" t="s">
        <v>134</v>
      </c>
    </row>
    <row r="41" spans="1:46" x14ac:dyDescent="0.4">
      <c r="A41" s="53">
        <v>21055</v>
      </c>
      <c r="B41" s="3" t="s">
        <v>97</v>
      </c>
      <c r="C41" s="12">
        <f t="shared" si="10"/>
        <v>73</v>
      </c>
      <c r="D41" s="17"/>
      <c r="E41" s="15">
        <f t="shared" si="1"/>
        <v>30</v>
      </c>
      <c r="F41" s="3">
        <f t="shared" si="14"/>
        <v>12</v>
      </c>
      <c r="G41" s="2"/>
      <c r="H41" s="2"/>
      <c r="I41" s="2"/>
      <c r="J41" s="2"/>
      <c r="K41" s="2"/>
      <c r="L41" s="2"/>
      <c r="M41" s="2" t="s">
        <v>134</v>
      </c>
      <c r="N41" s="2" t="s">
        <v>134</v>
      </c>
      <c r="O41" s="2"/>
      <c r="P41" s="2"/>
      <c r="Q41" s="2"/>
      <c r="R41" s="2" t="s">
        <v>134</v>
      </c>
      <c r="S41" s="2" t="s">
        <v>134</v>
      </c>
      <c r="T41" s="7"/>
      <c r="U41" s="20">
        <f t="shared" si="3"/>
        <v>15</v>
      </c>
      <c r="V41" s="3">
        <f t="shared" si="11"/>
        <v>3</v>
      </c>
      <c r="W41" s="2" t="s">
        <v>134</v>
      </c>
      <c r="X41" s="2"/>
      <c r="Y41" s="2"/>
      <c r="Z41" s="2"/>
      <c r="AA41" s="2"/>
      <c r="AB41" s="7"/>
      <c r="AC41" s="20">
        <f t="shared" si="5"/>
        <v>14</v>
      </c>
      <c r="AD41" s="3">
        <f t="shared" si="12"/>
        <v>0</v>
      </c>
      <c r="AE41" s="2"/>
      <c r="AF41" s="2"/>
      <c r="AG41" s="2"/>
      <c r="AH41" s="2"/>
      <c r="AI41" s="2"/>
      <c r="AJ41" s="2"/>
      <c r="AK41" s="7"/>
      <c r="AL41" s="20">
        <f t="shared" si="7"/>
        <v>9</v>
      </c>
      <c r="AM41" s="3">
        <f t="shared" si="13"/>
        <v>12</v>
      </c>
      <c r="AN41" s="2" t="s">
        <v>134</v>
      </c>
      <c r="AO41" s="2"/>
      <c r="AP41" s="2"/>
      <c r="AQ41" s="2"/>
      <c r="AR41" s="2" t="s">
        <v>134</v>
      </c>
      <c r="AS41" s="2" t="s">
        <v>134</v>
      </c>
      <c r="AT41" s="7" t="s">
        <v>134</v>
      </c>
    </row>
    <row r="42" spans="1:46" ht="17.25" thickBot="1" x14ac:dyDescent="0.45">
      <c r="A42" s="54">
        <v>21089</v>
      </c>
      <c r="B42" s="5" t="s">
        <v>98</v>
      </c>
      <c r="C42" s="13">
        <f t="shared" si="10"/>
        <v>100</v>
      </c>
      <c r="D42" s="18"/>
      <c r="E42" s="6">
        <f t="shared" si="1"/>
        <v>42</v>
      </c>
      <c r="F42" s="5">
        <f t="shared" si="1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22"/>
      <c r="U42" s="8">
        <f t="shared" si="3"/>
        <v>18</v>
      </c>
      <c r="V42" s="5">
        <f t="shared" si="11"/>
        <v>0</v>
      </c>
      <c r="W42" s="4"/>
      <c r="X42" s="4"/>
      <c r="Y42" s="4"/>
      <c r="Z42" s="4"/>
      <c r="AA42" s="4"/>
      <c r="AB42" s="22"/>
      <c r="AC42" s="8">
        <f t="shared" si="5"/>
        <v>14</v>
      </c>
      <c r="AD42" s="5">
        <f t="shared" si="12"/>
        <v>0</v>
      </c>
      <c r="AE42" s="4"/>
      <c r="AF42" s="4"/>
      <c r="AG42" s="4"/>
      <c r="AH42" s="4"/>
      <c r="AI42" s="4"/>
      <c r="AJ42" s="4"/>
      <c r="AK42" s="22"/>
      <c r="AL42" s="8">
        <f t="shared" si="7"/>
        <v>21</v>
      </c>
      <c r="AM42" s="5">
        <f t="shared" si="13"/>
        <v>0</v>
      </c>
      <c r="AN42" s="4"/>
      <c r="AO42" s="4"/>
      <c r="AP42" s="4"/>
      <c r="AQ42" s="4"/>
      <c r="AR42" s="4"/>
      <c r="AS42" s="4"/>
      <c r="AT42" s="22"/>
    </row>
    <row r="43" spans="1:46" x14ac:dyDescent="0.4">
      <c r="A43" s="49">
        <v>21090</v>
      </c>
      <c r="B43" s="10" t="s">
        <v>99</v>
      </c>
      <c r="C43" s="11">
        <f t="shared" si="10"/>
        <v>100</v>
      </c>
      <c r="D43" s="16"/>
      <c r="E43" s="14">
        <f t="shared" si="1"/>
        <v>42</v>
      </c>
      <c r="F43" s="10">
        <f t="shared" si="14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1"/>
      <c r="U43" s="19">
        <f t="shared" si="3"/>
        <v>18</v>
      </c>
      <c r="V43" s="10">
        <f t="shared" si="11"/>
        <v>0</v>
      </c>
      <c r="W43" s="9"/>
      <c r="X43" s="9"/>
      <c r="Y43" s="9"/>
      <c r="Z43" s="9"/>
      <c r="AA43" s="9"/>
      <c r="AB43" s="21"/>
      <c r="AC43" s="19">
        <f t="shared" si="5"/>
        <v>14</v>
      </c>
      <c r="AD43" s="10">
        <f t="shared" si="12"/>
        <v>0</v>
      </c>
      <c r="AE43" s="9"/>
      <c r="AF43" s="9"/>
      <c r="AG43" s="9"/>
      <c r="AH43" s="9"/>
      <c r="AI43" s="9"/>
      <c r="AJ43" s="9"/>
      <c r="AK43" s="21"/>
      <c r="AL43" s="19">
        <f t="shared" si="7"/>
        <v>21</v>
      </c>
      <c r="AM43" s="10">
        <f t="shared" si="13"/>
        <v>0</v>
      </c>
      <c r="AN43" s="9"/>
      <c r="AO43" s="9"/>
      <c r="AP43" s="9"/>
      <c r="AQ43" s="9"/>
      <c r="AR43" s="9"/>
      <c r="AS43" s="9"/>
      <c r="AT43" s="21"/>
    </row>
    <row r="44" spans="1:46" x14ac:dyDescent="0.4">
      <c r="A44" s="50">
        <v>21003</v>
      </c>
      <c r="B44" s="3" t="s">
        <v>100</v>
      </c>
      <c r="C44" s="12">
        <f t="shared" si="10"/>
        <v>91</v>
      </c>
      <c r="D44" s="17"/>
      <c r="E44" s="15">
        <f t="shared" si="1"/>
        <v>33</v>
      </c>
      <c r="F44" s="3">
        <f t="shared" si="14"/>
        <v>9</v>
      </c>
      <c r="G44" s="2"/>
      <c r="H44" s="2"/>
      <c r="I44" s="2"/>
      <c r="J44" s="2" t="s">
        <v>115</v>
      </c>
      <c r="K44" s="2"/>
      <c r="L44" s="2" t="s">
        <v>115</v>
      </c>
      <c r="M44" s="2"/>
      <c r="N44" s="2"/>
      <c r="O44" s="2"/>
      <c r="P44" s="2"/>
      <c r="Q44" s="2" t="s">
        <v>115</v>
      </c>
      <c r="R44" s="2"/>
      <c r="S44" s="2"/>
      <c r="T44" s="7"/>
      <c r="U44" s="20">
        <f t="shared" si="3"/>
        <v>18</v>
      </c>
      <c r="V44" s="3">
        <f t="shared" si="11"/>
        <v>0</v>
      </c>
      <c r="W44" s="2"/>
      <c r="X44" s="2"/>
      <c r="Y44" s="2"/>
      <c r="Z44" s="2"/>
      <c r="AA44" s="2"/>
      <c r="AB44" s="7"/>
      <c r="AC44" s="20">
        <f t="shared" si="5"/>
        <v>14</v>
      </c>
      <c r="AD44" s="3">
        <f t="shared" si="12"/>
        <v>0</v>
      </c>
      <c r="AE44" s="2"/>
      <c r="AF44" s="2"/>
      <c r="AG44" s="2"/>
      <c r="AH44" s="2"/>
      <c r="AI44" s="2"/>
      <c r="AJ44" s="2"/>
      <c r="AK44" s="7"/>
      <c r="AL44" s="20">
        <f t="shared" si="7"/>
        <v>21</v>
      </c>
      <c r="AM44" s="3">
        <f t="shared" si="13"/>
        <v>0</v>
      </c>
      <c r="AN44" s="2"/>
      <c r="AO44" s="2"/>
      <c r="AP44" s="2"/>
      <c r="AQ44" s="2"/>
      <c r="AR44" s="2"/>
      <c r="AS44" s="2"/>
      <c r="AT44" s="7"/>
    </row>
    <row r="45" spans="1:46" x14ac:dyDescent="0.4">
      <c r="A45" s="50">
        <v>21004</v>
      </c>
      <c r="B45" s="3" t="s">
        <v>101</v>
      </c>
      <c r="C45" s="12">
        <f>SUM(E45,U45,AC45,AL45,$D$5)</f>
        <v>90</v>
      </c>
      <c r="D45" s="17"/>
      <c r="E45" s="15">
        <f t="shared" si="1"/>
        <v>36</v>
      </c>
      <c r="F45" s="3">
        <f t="shared" si="14"/>
        <v>6</v>
      </c>
      <c r="G45" s="2"/>
      <c r="H45" s="2"/>
      <c r="I45" s="2"/>
      <c r="J45" s="2"/>
      <c r="K45" s="2"/>
      <c r="L45" s="2"/>
      <c r="M45" s="2"/>
      <c r="N45" s="2" t="s">
        <v>115</v>
      </c>
      <c r="O45" s="2" t="s">
        <v>115</v>
      </c>
      <c r="P45" s="2"/>
      <c r="Q45" s="2"/>
      <c r="R45" s="2"/>
      <c r="S45" s="2"/>
      <c r="T45" s="7"/>
      <c r="U45" s="20">
        <f t="shared" si="3"/>
        <v>18</v>
      </c>
      <c r="V45" s="3">
        <f t="shared" si="11"/>
        <v>0</v>
      </c>
      <c r="W45" s="2"/>
      <c r="X45" s="2"/>
      <c r="Y45" s="2"/>
      <c r="Z45" s="2"/>
      <c r="AA45" s="2"/>
      <c r="AB45" s="7"/>
      <c r="AC45" s="20">
        <f t="shared" si="5"/>
        <v>10</v>
      </c>
      <c r="AD45" s="3">
        <f t="shared" si="12"/>
        <v>4</v>
      </c>
      <c r="AE45" s="2" t="s">
        <v>115</v>
      </c>
      <c r="AF45" s="2"/>
      <c r="AG45" s="2"/>
      <c r="AH45" s="2"/>
      <c r="AI45" s="2"/>
      <c r="AJ45" s="2"/>
      <c r="AK45" s="7" t="s">
        <v>115</v>
      </c>
      <c r="AL45" s="20">
        <f t="shared" si="7"/>
        <v>21</v>
      </c>
      <c r="AM45" s="3">
        <f t="shared" si="13"/>
        <v>0</v>
      </c>
      <c r="AN45" s="2"/>
      <c r="AO45" s="2"/>
      <c r="AP45" s="2"/>
      <c r="AQ45" s="2"/>
      <c r="AR45" s="2"/>
      <c r="AS45" s="2"/>
      <c r="AT45" s="7"/>
    </row>
    <row r="46" spans="1:46" x14ac:dyDescent="0.4">
      <c r="A46" s="50">
        <v>21008</v>
      </c>
      <c r="B46" s="3" t="s">
        <v>102</v>
      </c>
      <c r="C46" s="12">
        <f t="shared" si="10"/>
        <v>91</v>
      </c>
      <c r="D46" s="17"/>
      <c r="E46" s="15">
        <f t="shared" si="1"/>
        <v>36</v>
      </c>
      <c r="F46" s="3">
        <f t="shared" si="14"/>
        <v>6</v>
      </c>
      <c r="G46" s="2"/>
      <c r="H46" s="2"/>
      <c r="I46" s="2" t="s">
        <v>115</v>
      </c>
      <c r="J46" s="2"/>
      <c r="K46" s="2"/>
      <c r="L46" s="2"/>
      <c r="M46" s="2"/>
      <c r="N46" s="2" t="s">
        <v>115</v>
      </c>
      <c r="O46" s="2"/>
      <c r="P46" s="2"/>
      <c r="Q46" s="2"/>
      <c r="R46" s="2"/>
      <c r="S46" s="2"/>
      <c r="T46" s="7"/>
      <c r="U46" s="20">
        <f t="shared" si="3"/>
        <v>15</v>
      </c>
      <c r="V46" s="3">
        <f t="shared" si="11"/>
        <v>3</v>
      </c>
      <c r="W46" s="2"/>
      <c r="X46" s="2" t="s">
        <v>115</v>
      </c>
      <c r="Y46" s="2"/>
      <c r="Z46" s="2"/>
      <c r="AA46" s="2"/>
      <c r="AB46" s="7"/>
      <c r="AC46" s="20">
        <f t="shared" si="5"/>
        <v>14</v>
      </c>
      <c r="AD46" s="3">
        <f t="shared" si="12"/>
        <v>0</v>
      </c>
      <c r="AE46" s="2"/>
      <c r="AF46" s="2"/>
      <c r="AG46" s="2"/>
      <c r="AH46" s="2"/>
      <c r="AI46" s="2"/>
      <c r="AJ46" s="2"/>
      <c r="AK46" s="7"/>
      <c r="AL46" s="20">
        <f t="shared" si="7"/>
        <v>21</v>
      </c>
      <c r="AM46" s="3">
        <f t="shared" si="13"/>
        <v>0</v>
      </c>
      <c r="AN46" s="2"/>
      <c r="AO46" s="2"/>
      <c r="AP46" s="2"/>
      <c r="AQ46" s="2"/>
      <c r="AR46" s="2"/>
      <c r="AS46" s="2"/>
      <c r="AT46" s="7"/>
    </row>
    <row r="47" spans="1:46" x14ac:dyDescent="0.4">
      <c r="A47" s="50">
        <v>21036</v>
      </c>
      <c r="B47" s="3" t="s">
        <v>103</v>
      </c>
      <c r="C47" s="12">
        <f t="shared" si="10"/>
        <v>100</v>
      </c>
      <c r="D47" s="17"/>
      <c r="E47" s="15">
        <f t="shared" si="1"/>
        <v>42</v>
      </c>
      <c r="F47" s="3">
        <f t="shared" si="14"/>
        <v>0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"/>
      <c r="U47" s="20">
        <f t="shared" si="3"/>
        <v>18</v>
      </c>
      <c r="V47" s="3">
        <f t="shared" si="11"/>
        <v>0</v>
      </c>
      <c r="W47" s="2"/>
      <c r="X47" s="2"/>
      <c r="Y47" s="2"/>
      <c r="Z47" s="2"/>
      <c r="AA47" s="2"/>
      <c r="AB47" s="7"/>
      <c r="AC47" s="20">
        <f t="shared" si="5"/>
        <v>14</v>
      </c>
      <c r="AD47" s="3">
        <f t="shared" si="12"/>
        <v>0</v>
      </c>
      <c r="AE47" s="2"/>
      <c r="AF47" s="2"/>
      <c r="AG47" s="2"/>
      <c r="AH47" s="2"/>
      <c r="AI47" s="2"/>
      <c r="AJ47" s="2"/>
      <c r="AK47" s="7"/>
      <c r="AL47" s="20">
        <f t="shared" si="7"/>
        <v>21</v>
      </c>
      <c r="AM47" s="3">
        <f t="shared" si="13"/>
        <v>0</v>
      </c>
      <c r="AN47" s="2"/>
      <c r="AO47" s="2"/>
      <c r="AP47" s="2"/>
      <c r="AQ47" s="2"/>
      <c r="AR47" s="2"/>
      <c r="AS47" s="2"/>
      <c r="AT47" s="7"/>
    </row>
    <row r="48" spans="1:46" x14ac:dyDescent="0.4">
      <c r="A48" s="50">
        <v>21041</v>
      </c>
      <c r="B48" s="3" t="s">
        <v>104</v>
      </c>
      <c r="C48" s="12">
        <f t="shared" si="10"/>
        <v>85</v>
      </c>
      <c r="D48" s="17"/>
      <c r="E48" s="15">
        <f t="shared" si="1"/>
        <v>33</v>
      </c>
      <c r="F48" s="3">
        <f t="shared" si="14"/>
        <v>9</v>
      </c>
      <c r="G48" s="2"/>
      <c r="H48" s="2"/>
      <c r="I48" s="2" t="s">
        <v>115</v>
      </c>
      <c r="J48" s="2"/>
      <c r="K48" s="2"/>
      <c r="L48" s="2" t="s">
        <v>115</v>
      </c>
      <c r="M48" s="2"/>
      <c r="N48" s="2" t="s">
        <v>115</v>
      </c>
      <c r="O48" s="2"/>
      <c r="P48" s="2"/>
      <c r="Q48" s="2"/>
      <c r="R48" s="2"/>
      <c r="S48" s="2"/>
      <c r="T48" s="7"/>
      <c r="U48" s="20">
        <f t="shared" si="3"/>
        <v>15</v>
      </c>
      <c r="V48" s="3">
        <f t="shared" si="11"/>
        <v>3</v>
      </c>
      <c r="W48" s="2"/>
      <c r="X48" s="2" t="s">
        <v>117</v>
      </c>
      <c r="Y48" s="2"/>
      <c r="Z48" s="2"/>
      <c r="AA48" s="2"/>
      <c r="AB48" s="7"/>
      <c r="AC48" s="20">
        <f t="shared" si="5"/>
        <v>14</v>
      </c>
      <c r="AD48" s="3">
        <f t="shared" si="12"/>
        <v>0</v>
      </c>
      <c r="AE48" s="2"/>
      <c r="AF48" s="2"/>
      <c r="AG48" s="2"/>
      <c r="AH48" s="2"/>
      <c r="AI48" s="2"/>
      <c r="AJ48" s="2"/>
      <c r="AK48" s="7"/>
      <c r="AL48" s="20">
        <f t="shared" si="7"/>
        <v>18</v>
      </c>
      <c r="AM48" s="3">
        <f t="shared" si="13"/>
        <v>3</v>
      </c>
      <c r="AN48" s="2"/>
      <c r="AO48" s="2" t="s">
        <v>115</v>
      </c>
      <c r="AP48" s="2"/>
      <c r="AQ48" s="2"/>
      <c r="AR48" s="2"/>
      <c r="AS48" s="2"/>
      <c r="AT48" s="7"/>
    </row>
    <row r="49" spans="1:46" x14ac:dyDescent="0.4">
      <c r="A49" s="50">
        <v>21049</v>
      </c>
      <c r="B49" s="3" t="s">
        <v>105</v>
      </c>
      <c r="C49" s="12">
        <f t="shared" si="10"/>
        <v>100</v>
      </c>
      <c r="D49" s="17"/>
      <c r="E49" s="15">
        <f t="shared" si="1"/>
        <v>42</v>
      </c>
      <c r="F49" s="3">
        <f t="shared" si="14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3"/>
        <v>18</v>
      </c>
      <c r="V49" s="3">
        <f t="shared" si="11"/>
        <v>0</v>
      </c>
      <c r="W49" s="2"/>
      <c r="X49" s="2"/>
      <c r="Y49" s="2"/>
      <c r="Z49" s="2"/>
      <c r="AA49" s="2"/>
      <c r="AB49" s="7"/>
      <c r="AC49" s="20">
        <f t="shared" si="5"/>
        <v>14</v>
      </c>
      <c r="AD49" s="3">
        <f t="shared" si="12"/>
        <v>0</v>
      </c>
      <c r="AE49" s="2"/>
      <c r="AF49" s="2"/>
      <c r="AG49" s="2"/>
      <c r="AH49" s="2"/>
      <c r="AI49" s="2"/>
      <c r="AJ49" s="2"/>
      <c r="AK49" s="7"/>
      <c r="AL49" s="20">
        <f t="shared" si="7"/>
        <v>21</v>
      </c>
      <c r="AM49" s="3">
        <f t="shared" si="13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0">
        <v>21061</v>
      </c>
      <c r="B50" s="3" t="s">
        <v>106</v>
      </c>
      <c r="C50" s="12">
        <f t="shared" si="10"/>
        <v>82</v>
      </c>
      <c r="D50" s="17"/>
      <c r="E50" s="15">
        <f t="shared" si="1"/>
        <v>33</v>
      </c>
      <c r="F50" s="3">
        <f t="shared" si="14"/>
        <v>9</v>
      </c>
      <c r="G50" s="2"/>
      <c r="H50" s="2"/>
      <c r="I50" s="2" t="s">
        <v>115</v>
      </c>
      <c r="J50" s="2"/>
      <c r="K50" s="2"/>
      <c r="L50" s="2"/>
      <c r="M50" s="2"/>
      <c r="N50" s="2" t="s">
        <v>115</v>
      </c>
      <c r="O50" s="2"/>
      <c r="P50" s="2"/>
      <c r="Q50" s="2"/>
      <c r="R50" s="2"/>
      <c r="S50" s="2" t="s">
        <v>115</v>
      </c>
      <c r="T50" s="7"/>
      <c r="U50" s="20">
        <f t="shared" si="3"/>
        <v>15</v>
      </c>
      <c r="V50" s="3">
        <f t="shared" si="11"/>
        <v>3</v>
      </c>
      <c r="W50" s="2" t="s">
        <v>115</v>
      </c>
      <c r="X50" s="2"/>
      <c r="Y50" s="2"/>
      <c r="Z50" s="2"/>
      <c r="AA50" s="2"/>
      <c r="AB50" s="7"/>
      <c r="AC50" s="20">
        <f t="shared" si="5"/>
        <v>8</v>
      </c>
      <c r="AD50" s="3">
        <f t="shared" si="12"/>
        <v>6</v>
      </c>
      <c r="AE50" s="2" t="s">
        <v>115</v>
      </c>
      <c r="AF50" s="2"/>
      <c r="AG50" s="2"/>
      <c r="AH50" s="2" t="s">
        <v>118</v>
      </c>
      <c r="AI50" s="2"/>
      <c r="AJ50" s="2"/>
      <c r="AK50" s="7" t="s">
        <v>115</v>
      </c>
      <c r="AL50" s="20">
        <f t="shared" si="7"/>
        <v>21</v>
      </c>
      <c r="AM50" s="3">
        <f t="shared" si="13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9">
        <v>21071</v>
      </c>
      <c r="B51" s="40" t="s">
        <v>107</v>
      </c>
      <c r="C51" s="41">
        <f t="shared" si="10"/>
        <v>100</v>
      </c>
      <c r="D51" s="17"/>
      <c r="E51" s="15">
        <f t="shared" si="1"/>
        <v>42</v>
      </c>
      <c r="F51" s="3">
        <f t="shared" si="14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3"/>
        <v>18</v>
      </c>
      <c r="V51" s="3">
        <f t="shared" si="11"/>
        <v>0</v>
      </c>
      <c r="W51" s="2"/>
      <c r="X51" s="2"/>
      <c r="Y51" s="2"/>
      <c r="Z51" s="2"/>
      <c r="AA51" s="2"/>
      <c r="AB51" s="7"/>
      <c r="AC51" s="20">
        <f t="shared" si="5"/>
        <v>14</v>
      </c>
      <c r="AD51" s="3">
        <f t="shared" si="12"/>
        <v>0</v>
      </c>
      <c r="AE51" s="2"/>
      <c r="AF51" s="2"/>
      <c r="AG51" s="2"/>
      <c r="AH51" s="2"/>
      <c r="AI51" s="2"/>
      <c r="AJ51" s="2"/>
      <c r="AK51" s="7"/>
      <c r="AL51" s="20">
        <f t="shared" si="7"/>
        <v>21</v>
      </c>
      <c r="AM51" s="3">
        <f t="shared" si="13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9">
        <v>21074</v>
      </c>
      <c r="B52" s="40" t="s">
        <v>108</v>
      </c>
      <c r="C52" s="41">
        <f t="shared" si="10"/>
        <v>100</v>
      </c>
      <c r="D52" s="17"/>
      <c r="E52" s="15">
        <f t="shared" si="1"/>
        <v>42</v>
      </c>
      <c r="F52" s="3">
        <f t="shared" si="14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3"/>
        <v>18</v>
      </c>
      <c r="V52" s="3">
        <f t="shared" si="11"/>
        <v>0</v>
      </c>
      <c r="W52" s="2"/>
      <c r="X52" s="2"/>
      <c r="Y52" s="2"/>
      <c r="Z52" s="2"/>
      <c r="AA52" s="2"/>
      <c r="AB52" s="7"/>
      <c r="AC52" s="20">
        <f t="shared" si="5"/>
        <v>14</v>
      </c>
      <c r="AD52" s="3">
        <f t="shared" si="12"/>
        <v>0</v>
      </c>
      <c r="AE52" s="2"/>
      <c r="AF52" s="2"/>
      <c r="AG52" s="2"/>
      <c r="AH52" s="2"/>
      <c r="AI52" s="2"/>
      <c r="AJ52" s="2"/>
      <c r="AK52" s="7"/>
      <c r="AL52" s="20">
        <f t="shared" si="7"/>
        <v>21</v>
      </c>
      <c r="AM52" s="3">
        <f t="shared" si="13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0">
        <v>21087</v>
      </c>
      <c r="B53" s="3" t="s">
        <v>109</v>
      </c>
      <c r="C53" s="12">
        <f t="shared" ref="C53:C57" si="15">SUM(E53,U53,AC53,AL53,$D$5)</f>
        <v>8</v>
      </c>
      <c r="D53" s="17"/>
      <c r="E53" s="15">
        <f t="shared" ref="E53:E57" si="16">$E$5-F53</f>
        <v>3</v>
      </c>
      <c r="F53" s="3">
        <f t="shared" ref="F53:F57" si="17">COUNTIF(G53:T53,"×")*3</f>
        <v>39</v>
      </c>
      <c r="G53" s="2" t="s">
        <v>115</v>
      </c>
      <c r="H53" s="2" t="s">
        <v>119</v>
      </c>
      <c r="I53" s="2"/>
      <c r="J53" s="2" t="s">
        <v>115</v>
      </c>
      <c r="K53" s="2" t="s">
        <v>115</v>
      </c>
      <c r="L53" s="2" t="s">
        <v>115</v>
      </c>
      <c r="M53" s="2" t="s">
        <v>115</v>
      </c>
      <c r="N53" s="2" t="s">
        <v>115</v>
      </c>
      <c r="O53" s="2" t="s">
        <v>115</v>
      </c>
      <c r="P53" s="2" t="s">
        <v>115</v>
      </c>
      <c r="Q53" s="2" t="s">
        <v>115</v>
      </c>
      <c r="R53" s="2" t="s">
        <v>115</v>
      </c>
      <c r="S53" s="2" t="s">
        <v>120</v>
      </c>
      <c r="T53" s="7" t="s">
        <v>115</v>
      </c>
      <c r="U53" s="20">
        <f t="shared" ref="U53:U57" si="18">$U$5-V53</f>
        <v>0</v>
      </c>
      <c r="V53" s="3">
        <f t="shared" ref="V53:V57" si="19">COUNTIF(W53:AB53,"×")*3</f>
        <v>18</v>
      </c>
      <c r="W53" s="2" t="s">
        <v>115</v>
      </c>
      <c r="X53" s="2" t="s">
        <v>115</v>
      </c>
      <c r="Y53" s="2" t="s">
        <v>115</v>
      </c>
      <c r="Z53" s="2" t="s">
        <v>121</v>
      </c>
      <c r="AA53" s="2" t="s">
        <v>115</v>
      </c>
      <c r="AB53" s="7" t="s">
        <v>115</v>
      </c>
      <c r="AC53" s="20">
        <f t="shared" ref="AC53:AC57" si="20">$AC$5-AD53</f>
        <v>0</v>
      </c>
      <c r="AD53" s="3">
        <f t="shared" ref="AD53:AD57" si="21">COUNTIF(AE53:AK53,"×")*2</f>
        <v>14</v>
      </c>
      <c r="AE53" s="2" t="s">
        <v>115</v>
      </c>
      <c r="AF53" s="2" t="s">
        <v>115</v>
      </c>
      <c r="AG53" s="2" t="s">
        <v>119</v>
      </c>
      <c r="AH53" s="2" t="s">
        <v>115</v>
      </c>
      <c r="AI53" s="2" t="s">
        <v>115</v>
      </c>
      <c r="AJ53" s="2" t="s">
        <v>115</v>
      </c>
      <c r="AK53" s="7" t="s">
        <v>115</v>
      </c>
      <c r="AL53" s="20">
        <f t="shared" ref="AL53:AL57" si="22">$AL$5-AM53</f>
        <v>0</v>
      </c>
      <c r="AM53" s="3">
        <f t="shared" ref="AM53:AM57" si="23">COUNTIF(AN53:AT53,"×")*3</f>
        <v>21</v>
      </c>
      <c r="AN53" s="2" t="s">
        <v>115</v>
      </c>
      <c r="AO53" s="2" t="s">
        <v>115</v>
      </c>
      <c r="AP53" s="2" t="s">
        <v>115</v>
      </c>
      <c r="AQ53" s="2" t="s">
        <v>115</v>
      </c>
      <c r="AR53" s="2" t="s">
        <v>122</v>
      </c>
      <c r="AS53" s="2" t="s">
        <v>115</v>
      </c>
      <c r="AT53" s="7" t="s">
        <v>115</v>
      </c>
    </row>
    <row r="54" spans="1:46" x14ac:dyDescent="0.4">
      <c r="A54" s="50">
        <v>21038</v>
      </c>
      <c r="B54" s="3" t="s">
        <v>110</v>
      </c>
      <c r="C54" s="12">
        <f t="shared" si="15"/>
        <v>85</v>
      </c>
      <c r="D54" s="17"/>
      <c r="E54" s="15">
        <f t="shared" si="16"/>
        <v>27</v>
      </c>
      <c r="F54" s="3">
        <f t="shared" si="17"/>
        <v>15</v>
      </c>
      <c r="G54" s="2"/>
      <c r="H54" s="2"/>
      <c r="I54" s="2" t="s">
        <v>115</v>
      </c>
      <c r="J54" s="2" t="s">
        <v>115</v>
      </c>
      <c r="K54" s="2" t="s">
        <v>115</v>
      </c>
      <c r="L54" s="2"/>
      <c r="M54" s="2"/>
      <c r="N54" s="2"/>
      <c r="O54" s="2"/>
      <c r="P54" s="2"/>
      <c r="Q54" s="2"/>
      <c r="R54" s="2" t="s">
        <v>115</v>
      </c>
      <c r="S54" s="2" t="s">
        <v>116</v>
      </c>
      <c r="T54" s="7"/>
      <c r="U54" s="20">
        <f t="shared" si="18"/>
        <v>18</v>
      </c>
      <c r="V54" s="3">
        <f t="shared" si="19"/>
        <v>0</v>
      </c>
      <c r="W54" s="2"/>
      <c r="X54" s="2"/>
      <c r="Y54" s="2"/>
      <c r="Z54" s="2"/>
      <c r="AA54" s="2"/>
      <c r="AB54" s="7"/>
      <c r="AC54" s="20">
        <f t="shared" si="20"/>
        <v>14</v>
      </c>
      <c r="AD54" s="3">
        <f t="shared" si="21"/>
        <v>0</v>
      </c>
      <c r="AE54" s="2"/>
      <c r="AF54" s="2"/>
      <c r="AG54" s="2"/>
      <c r="AH54" s="2"/>
      <c r="AI54" s="2"/>
      <c r="AJ54" s="2"/>
      <c r="AK54" s="7"/>
      <c r="AL54" s="20">
        <f t="shared" si="22"/>
        <v>21</v>
      </c>
      <c r="AM54" s="3">
        <f t="shared" si="23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0">
        <v>21068</v>
      </c>
      <c r="B55" s="3" t="s">
        <v>111</v>
      </c>
      <c r="C55" s="12">
        <f t="shared" si="15"/>
        <v>100</v>
      </c>
      <c r="D55" s="17"/>
      <c r="E55" s="15">
        <f t="shared" si="16"/>
        <v>42</v>
      </c>
      <c r="F55" s="3">
        <f t="shared" si="17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18"/>
        <v>18</v>
      </c>
      <c r="V55" s="3">
        <f t="shared" si="19"/>
        <v>0</v>
      </c>
      <c r="W55" s="2"/>
      <c r="X55" s="2"/>
      <c r="Y55" s="2"/>
      <c r="Z55" s="2"/>
      <c r="AA55" s="2"/>
      <c r="AB55" s="7"/>
      <c r="AC55" s="20">
        <f t="shared" si="20"/>
        <v>14</v>
      </c>
      <c r="AD55" s="3">
        <f t="shared" si="21"/>
        <v>0</v>
      </c>
      <c r="AE55" s="2"/>
      <c r="AF55" s="2"/>
      <c r="AG55" s="2"/>
      <c r="AH55" s="2"/>
      <c r="AI55" s="2"/>
      <c r="AJ55" s="2"/>
      <c r="AK55" s="7"/>
      <c r="AL55" s="20">
        <f t="shared" si="22"/>
        <v>21</v>
      </c>
      <c r="AM55" s="3">
        <f t="shared" si="23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0">
        <v>21091</v>
      </c>
      <c r="B56" s="3" t="s">
        <v>112</v>
      </c>
      <c r="C56" s="12">
        <f t="shared" si="15"/>
        <v>63</v>
      </c>
      <c r="D56" s="17"/>
      <c r="E56" s="15">
        <f t="shared" si="16"/>
        <v>24</v>
      </c>
      <c r="F56" s="3">
        <f t="shared" si="17"/>
        <v>18</v>
      </c>
      <c r="G56" s="2"/>
      <c r="H56" s="2"/>
      <c r="I56" s="2" t="s">
        <v>115</v>
      </c>
      <c r="J56" s="2" t="s">
        <v>123</v>
      </c>
      <c r="K56" s="2"/>
      <c r="L56" s="2" t="s">
        <v>115</v>
      </c>
      <c r="M56" s="2" t="s">
        <v>115</v>
      </c>
      <c r="N56" s="2"/>
      <c r="O56" s="2"/>
      <c r="P56" s="2"/>
      <c r="Q56" s="2" t="s">
        <v>115</v>
      </c>
      <c r="R56" s="2"/>
      <c r="S56" s="2" t="s">
        <v>115</v>
      </c>
      <c r="T56" s="7"/>
      <c r="U56" s="20">
        <f t="shared" si="18"/>
        <v>9</v>
      </c>
      <c r="V56" s="3">
        <f t="shared" si="19"/>
        <v>9</v>
      </c>
      <c r="W56" s="2" t="s">
        <v>115</v>
      </c>
      <c r="X56" s="2" t="s">
        <v>115</v>
      </c>
      <c r="Y56" s="2"/>
      <c r="Z56" s="2" t="s">
        <v>124</v>
      </c>
      <c r="AA56" s="2"/>
      <c r="AB56" s="7"/>
      <c r="AC56" s="20">
        <f t="shared" si="20"/>
        <v>10</v>
      </c>
      <c r="AD56" s="3">
        <f t="shared" si="21"/>
        <v>4</v>
      </c>
      <c r="AE56" s="2" t="s">
        <v>115</v>
      </c>
      <c r="AF56" s="2"/>
      <c r="AG56" s="2"/>
      <c r="AH56" s="2"/>
      <c r="AI56" s="2"/>
      <c r="AJ56" s="2" t="s">
        <v>125</v>
      </c>
      <c r="AK56" s="7"/>
      <c r="AL56" s="20">
        <f t="shared" si="22"/>
        <v>15</v>
      </c>
      <c r="AM56" s="3">
        <f t="shared" si="23"/>
        <v>6</v>
      </c>
      <c r="AN56" s="2"/>
      <c r="AO56" s="2"/>
      <c r="AP56" s="2"/>
      <c r="AQ56" s="2" t="s">
        <v>115</v>
      </c>
      <c r="AR56" s="2"/>
      <c r="AS56" s="2"/>
      <c r="AT56" s="7" t="s">
        <v>126</v>
      </c>
    </row>
    <row r="57" spans="1:46" x14ac:dyDescent="0.4">
      <c r="A57" s="50">
        <v>21096</v>
      </c>
      <c r="B57" s="3" t="s">
        <v>113</v>
      </c>
      <c r="C57" s="12">
        <f t="shared" si="15"/>
        <v>100</v>
      </c>
      <c r="D57" s="17"/>
      <c r="E57" s="15">
        <f t="shared" si="16"/>
        <v>42</v>
      </c>
      <c r="F57" s="3">
        <f t="shared" si="17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18"/>
        <v>18</v>
      </c>
      <c r="V57" s="3">
        <f t="shared" si="19"/>
        <v>0</v>
      </c>
      <c r="W57" s="2"/>
      <c r="X57" s="2"/>
      <c r="Y57" s="2"/>
      <c r="Z57" s="2"/>
      <c r="AA57" s="2"/>
      <c r="AB57" s="7"/>
      <c r="AC57" s="20">
        <f t="shared" si="20"/>
        <v>14</v>
      </c>
      <c r="AD57" s="3">
        <f t="shared" si="21"/>
        <v>0</v>
      </c>
      <c r="AE57" s="2"/>
      <c r="AF57" s="2"/>
      <c r="AG57" s="2"/>
      <c r="AH57" s="2"/>
      <c r="AI57" s="2"/>
      <c r="AJ57" s="2"/>
      <c r="AK57" s="7"/>
      <c r="AL57" s="20">
        <f t="shared" si="22"/>
        <v>21</v>
      </c>
      <c r="AM57" s="3">
        <f t="shared" si="23"/>
        <v>0</v>
      </c>
      <c r="AN57" s="2"/>
      <c r="AO57" s="2"/>
      <c r="AP57" s="2"/>
      <c r="AQ57" s="2"/>
      <c r="AR57" s="2"/>
      <c r="AS57" s="2"/>
      <c r="AT57" s="7"/>
    </row>
    <row r="58" spans="1:46" ht="17.25" thickBot="1" x14ac:dyDescent="0.45">
      <c r="A58" s="51">
        <v>21099</v>
      </c>
      <c r="B58" s="5" t="s">
        <v>114</v>
      </c>
      <c r="C58" s="13">
        <f t="shared" si="10"/>
        <v>100</v>
      </c>
      <c r="D58" s="18"/>
      <c r="E58" s="6">
        <f t="shared" si="1"/>
        <v>42</v>
      </c>
      <c r="F58" s="5">
        <f t="shared" si="1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22"/>
      <c r="U58" s="8">
        <f t="shared" si="3"/>
        <v>18</v>
      </c>
      <c r="V58" s="5">
        <f t="shared" si="11"/>
        <v>0</v>
      </c>
      <c r="W58" s="4"/>
      <c r="X58" s="4"/>
      <c r="Y58" s="4"/>
      <c r="Z58" s="4"/>
      <c r="AA58" s="4"/>
      <c r="AB58" s="22"/>
      <c r="AC58" s="8">
        <f t="shared" si="5"/>
        <v>14</v>
      </c>
      <c r="AD58" s="5">
        <f t="shared" si="12"/>
        <v>0</v>
      </c>
      <c r="AE58" s="4"/>
      <c r="AF58" s="4"/>
      <c r="AG58" s="4"/>
      <c r="AH58" s="4"/>
      <c r="AI58" s="4"/>
      <c r="AJ58" s="4"/>
      <c r="AK58" s="22"/>
      <c r="AL58" s="8">
        <f t="shared" si="7"/>
        <v>21</v>
      </c>
      <c r="AM58" s="5">
        <f t="shared" si="13"/>
        <v>0</v>
      </c>
      <c r="AN58" s="4"/>
      <c r="AO58" s="4"/>
      <c r="AP58" s="4"/>
      <c r="AQ58" s="4"/>
      <c r="AR58" s="4"/>
      <c r="AS58" s="4"/>
      <c r="AT58" s="22"/>
    </row>
    <row r="59" spans="1:46" x14ac:dyDescent="0.4">
      <c r="A59" s="42"/>
      <c r="B59" s="43"/>
      <c r="C59" s="44">
        <f t="shared" si="10"/>
        <v>100</v>
      </c>
      <c r="D59" s="45"/>
      <c r="E59" s="46">
        <f t="shared" si="1"/>
        <v>42</v>
      </c>
      <c r="F59" s="43">
        <f t="shared" si="14"/>
        <v>0</v>
      </c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8"/>
      <c r="U59" s="42">
        <f t="shared" si="3"/>
        <v>18</v>
      </c>
      <c r="V59" s="43">
        <f t="shared" si="11"/>
        <v>0</v>
      </c>
      <c r="W59" s="47"/>
      <c r="X59" s="47"/>
      <c r="Y59" s="47"/>
      <c r="Z59" s="47"/>
      <c r="AA59" s="47"/>
      <c r="AB59" s="48"/>
      <c r="AC59" s="42">
        <f t="shared" si="5"/>
        <v>14</v>
      </c>
      <c r="AD59" s="43">
        <f t="shared" si="12"/>
        <v>0</v>
      </c>
      <c r="AE59" s="47"/>
      <c r="AF59" s="47"/>
      <c r="AG59" s="47"/>
      <c r="AH59" s="47"/>
      <c r="AI59" s="47"/>
      <c r="AJ59" s="47"/>
      <c r="AK59" s="48"/>
      <c r="AL59" s="42">
        <f t="shared" si="7"/>
        <v>21</v>
      </c>
      <c r="AM59" s="43">
        <f t="shared" si="13"/>
        <v>0</v>
      </c>
      <c r="AN59" s="47"/>
      <c r="AO59" s="47"/>
      <c r="AP59" s="47"/>
      <c r="AQ59" s="47"/>
      <c r="AR59" s="47"/>
      <c r="AS59" s="47"/>
      <c r="AT59" s="48"/>
    </row>
    <row r="60" spans="1:46" ht="17.25" thickBot="1" x14ac:dyDescent="0.45">
      <c r="A60" s="8"/>
      <c r="B60" s="5"/>
      <c r="C60" s="13">
        <f t="shared" si="10"/>
        <v>100</v>
      </c>
      <c r="D60" s="18"/>
      <c r="E60" s="6">
        <f t="shared" si="1"/>
        <v>42</v>
      </c>
      <c r="F60" s="5">
        <f>COUNTIF(G60:T60,"×")*3</f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22"/>
      <c r="U60" s="8">
        <f t="shared" si="3"/>
        <v>18</v>
      </c>
      <c r="V60" s="5">
        <f t="shared" si="11"/>
        <v>0</v>
      </c>
      <c r="W60" s="4"/>
      <c r="X60" s="4"/>
      <c r="Y60" s="4"/>
      <c r="Z60" s="4"/>
      <c r="AA60" s="4"/>
      <c r="AB60" s="22"/>
      <c r="AC60" s="8">
        <f t="shared" si="5"/>
        <v>14</v>
      </c>
      <c r="AD60" s="5">
        <f t="shared" si="12"/>
        <v>0</v>
      </c>
      <c r="AE60" s="4"/>
      <c r="AF60" s="4"/>
      <c r="AG60" s="4"/>
      <c r="AH60" s="4"/>
      <c r="AI60" s="4"/>
      <c r="AJ60" s="4"/>
      <c r="AK60" s="22"/>
      <c r="AL60" s="8">
        <f t="shared" si="7"/>
        <v>21</v>
      </c>
      <c r="AM60" s="5">
        <f t="shared" si="13"/>
        <v>0</v>
      </c>
      <c r="AN60" s="4"/>
      <c r="AO60" s="4"/>
      <c r="AP60" s="4"/>
      <c r="AQ60" s="4"/>
      <c r="AR60" s="4"/>
      <c r="AS60" s="4"/>
      <c r="AT60" s="22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0"/>
  <sheetViews>
    <sheetView zoomScale="145" zoomScaleNormal="145" workbookViewId="0">
      <selection activeCell="D16" sqref="D16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322</v>
      </c>
    </row>
    <row r="2" spans="1:20" ht="19.5" thickBot="1" x14ac:dyDescent="0.45"/>
    <row r="3" spans="1:20" x14ac:dyDescent="0.4">
      <c r="B3" s="61" t="s">
        <v>240</v>
      </c>
    </row>
    <row r="4" spans="1:20" x14ac:dyDescent="0.4">
      <c r="B4" s="62" t="s">
        <v>241</v>
      </c>
    </row>
    <row r="5" spans="1:20" x14ac:dyDescent="0.4">
      <c r="B5" s="62" t="s">
        <v>47</v>
      </c>
    </row>
    <row r="6" spans="1:20" x14ac:dyDescent="0.4">
      <c r="B6" s="62" t="s">
        <v>292</v>
      </c>
    </row>
    <row r="7" spans="1:20" ht="19.5" thickBot="1" x14ac:dyDescent="0.45">
      <c r="B7" s="63" t="s">
        <v>323</v>
      </c>
    </row>
    <row r="8" spans="1:20" x14ac:dyDescent="0.4">
      <c r="B8" t="s">
        <v>54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60" t="s">
        <v>141</v>
      </c>
      <c r="B9" t="s">
        <v>321</v>
      </c>
      <c r="E9" t="s">
        <v>190</v>
      </c>
      <c r="F9" t="s">
        <v>190</v>
      </c>
      <c r="G9" t="s">
        <v>190</v>
      </c>
      <c r="H9" t="s">
        <v>115</v>
      </c>
      <c r="I9" t="s">
        <v>190</v>
      </c>
      <c r="J9" t="s">
        <v>115</v>
      </c>
      <c r="K9" t="s">
        <v>115</v>
      </c>
      <c r="L9" t="s">
        <v>190</v>
      </c>
      <c r="M9" t="s">
        <v>190</v>
      </c>
      <c r="N9" t="s">
        <v>190</v>
      </c>
      <c r="O9" t="s">
        <v>190</v>
      </c>
      <c r="P9" t="s">
        <v>190</v>
      </c>
      <c r="Q9" t="s">
        <v>190</v>
      </c>
      <c r="R9" t="s">
        <v>115</v>
      </c>
      <c r="S9" t="s">
        <v>190</v>
      </c>
      <c r="T9" t="s">
        <v>190</v>
      </c>
    </row>
    <row r="10" spans="1:20" x14ac:dyDescent="0.4">
      <c r="A10" s="60" t="s">
        <v>142</v>
      </c>
      <c r="B10" t="s">
        <v>145</v>
      </c>
    </row>
    <row r="11" spans="1:20" x14ac:dyDescent="0.4">
      <c r="A11" s="60" t="s">
        <v>143</v>
      </c>
    </row>
    <row r="12" spans="1:20" x14ac:dyDescent="0.4">
      <c r="A12" s="60" t="s">
        <v>144</v>
      </c>
    </row>
    <row r="14" spans="1:20" ht="19.5" thickBot="1" x14ac:dyDescent="0.45">
      <c r="E14" t="str">
        <f t="shared" ref="E14:O14" si="0">E9</f>
        <v>〇</v>
      </c>
      <c r="F14" t="str">
        <f t="shared" si="0"/>
        <v>〇</v>
      </c>
      <c r="G14" t="str">
        <f t="shared" si="0"/>
        <v>〇</v>
      </c>
      <c r="H14" t="str">
        <f t="shared" si="0"/>
        <v>×</v>
      </c>
      <c r="I14" t="str">
        <f t="shared" si="0"/>
        <v>〇</v>
      </c>
      <c r="J14" t="str">
        <f t="shared" si="0"/>
        <v>×</v>
      </c>
      <c r="K14" t="str">
        <f t="shared" si="0"/>
        <v>×</v>
      </c>
      <c r="L14" t="str">
        <f t="shared" si="0"/>
        <v>〇</v>
      </c>
      <c r="M14" t="str">
        <f t="shared" si="0"/>
        <v>〇</v>
      </c>
      <c r="N14" t="str">
        <f t="shared" si="0"/>
        <v>〇</v>
      </c>
      <c r="O14" t="str">
        <f t="shared" si="0"/>
        <v>〇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〇</v>
      </c>
    </row>
    <row r="15" spans="1:20" ht="19.5" thickBot="1" x14ac:dyDescent="0.45">
      <c r="C15" t="s">
        <v>146</v>
      </c>
      <c r="D15" s="64"/>
    </row>
    <row r="16" spans="1:20" x14ac:dyDescent="0.4">
      <c r="C16" t="s">
        <v>147</v>
      </c>
      <c r="D16" t="str">
        <f>IF(D15="","",VLOOKUP(D15,Sheet2022!$A$6:$B$87,2,FALSE))</f>
        <v/>
      </c>
    </row>
    <row r="19" spans="3:3" x14ac:dyDescent="0.4">
      <c r="C19" t="e">
        <f>MATCH(D15,Sheet2022!$A$1:$A$87,0)</f>
        <v>#N/A</v>
      </c>
    </row>
    <row r="20" spans="3:3" x14ac:dyDescent="0.4">
      <c r="C20" t="s">
        <v>189</v>
      </c>
    </row>
  </sheetData>
  <phoneticPr fontId="1"/>
  <dataValidations count="1">
    <dataValidation type="list" allowBlank="1" showInputMessage="1" showErrorMessage="1" sqref="B9:B12" xr:uid="{00000000-0002-0000-0100-000000000000}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89"/>
  <sheetViews>
    <sheetView tabSelected="1" zoomScale="130" zoomScaleNormal="130" zoomScaleSheetLayoutView="80" workbookViewId="0">
      <pane xSplit="3" ySplit="5" topLeftCell="E64" activePane="bottomRight" state="frozen"/>
      <selection pane="topRight" activeCell="D1" sqref="D1"/>
      <selection pane="bottomLeft" activeCell="A6" sqref="A6"/>
      <selection pane="bottomRight" activeCell="A77" sqref="A77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8" ht="17.25" thickBot="1" x14ac:dyDescent="0.45">
      <c r="A1" s="1" t="s">
        <v>324</v>
      </c>
    </row>
    <row r="2" spans="1:48" ht="18" customHeight="1" x14ac:dyDescent="0.4">
      <c r="A2" s="65" t="s">
        <v>0</v>
      </c>
      <c r="B2" s="68" t="s">
        <v>18</v>
      </c>
      <c r="C2" s="78" t="s">
        <v>3</v>
      </c>
      <c r="D2" s="81" t="s">
        <v>60</v>
      </c>
      <c r="E2" s="73" t="s">
        <v>1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3" t="s">
        <v>34</v>
      </c>
      <c r="V2" s="74"/>
      <c r="W2" s="74"/>
      <c r="X2" s="74"/>
      <c r="Y2" s="74"/>
      <c r="Z2" s="74"/>
      <c r="AA2" s="74"/>
      <c r="AB2" s="75"/>
      <c r="AC2" s="73" t="s">
        <v>43</v>
      </c>
      <c r="AD2" s="74"/>
      <c r="AE2" s="74"/>
      <c r="AF2" s="74"/>
      <c r="AG2" s="74"/>
      <c r="AH2" s="74"/>
      <c r="AI2" s="74"/>
      <c r="AJ2" s="74"/>
      <c r="AK2" s="75"/>
      <c r="AL2" s="77" t="s">
        <v>53</v>
      </c>
      <c r="AM2" s="74"/>
      <c r="AN2" s="74"/>
      <c r="AO2" s="74"/>
      <c r="AP2" s="74"/>
      <c r="AQ2" s="74"/>
      <c r="AR2" s="74"/>
      <c r="AS2" s="74"/>
      <c r="AT2" s="75"/>
    </row>
    <row r="3" spans="1:48" x14ac:dyDescent="0.4">
      <c r="A3" s="66"/>
      <c r="B3" s="69"/>
      <c r="C3" s="79"/>
      <c r="D3" s="82"/>
      <c r="E3" s="71" t="s">
        <v>2</v>
      </c>
      <c r="F3" s="72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71" t="s">
        <v>2</v>
      </c>
      <c r="V3" s="72"/>
      <c r="W3" s="23" t="s">
        <v>19</v>
      </c>
      <c r="X3" s="23" t="s">
        <v>20</v>
      </c>
      <c r="Y3" s="23" t="s">
        <v>21</v>
      </c>
      <c r="Z3" s="23" t="s">
        <v>22</v>
      </c>
      <c r="AA3" s="23" t="s">
        <v>23</v>
      </c>
      <c r="AB3" s="24" t="s">
        <v>24</v>
      </c>
      <c r="AC3" s="71" t="s">
        <v>2</v>
      </c>
      <c r="AD3" s="72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6" t="s">
        <v>2</v>
      </c>
      <c r="AM3" s="72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8" ht="78.75" customHeight="1" x14ac:dyDescent="0.4">
      <c r="A4" s="66"/>
      <c r="B4" s="69"/>
      <c r="C4" s="79"/>
      <c r="D4" s="82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37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56</v>
      </c>
      <c r="AT4" s="34" t="s">
        <v>57</v>
      </c>
    </row>
    <row r="5" spans="1:48" ht="17.25" thickBot="1" x14ac:dyDescent="0.45">
      <c r="A5" s="67"/>
      <c r="B5" s="70"/>
      <c r="C5" s="80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8" x14ac:dyDescent="0.4">
      <c r="A6" s="55"/>
      <c r="B6" s="10"/>
      <c r="C6" s="11">
        <f>SUM(E6,U6,AC6,AL6,$D$5)</f>
        <v>100</v>
      </c>
      <c r="D6" s="16"/>
      <c r="E6" s="14">
        <f>$E$5-F6</f>
        <v>42</v>
      </c>
      <c r="F6" s="10">
        <f>COUNTIF(G6:T6,"×")*3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14</v>
      </c>
      <c r="AD6" s="10">
        <f>COUNTIF(AE6:AK6,"×")*2</f>
        <v>0</v>
      </c>
      <c r="AE6" s="9"/>
      <c r="AF6" s="9"/>
      <c r="AG6" s="9"/>
      <c r="AH6" s="9"/>
      <c r="AI6" s="9"/>
      <c r="AJ6" s="9"/>
      <c r="AK6" s="21"/>
      <c r="AL6" s="19">
        <f>$AL$5-AM6</f>
        <v>21</v>
      </c>
      <c r="AM6" s="10">
        <f>COUNTIF(AN6:AT6,"×")*3</f>
        <v>0</v>
      </c>
      <c r="AN6" s="9"/>
      <c r="AO6" s="9"/>
      <c r="AP6" s="9"/>
      <c r="AQ6" s="9"/>
      <c r="AR6" s="9"/>
      <c r="AS6" s="9"/>
      <c r="AT6" s="21"/>
      <c r="AU6" s="1" t="s">
        <v>284</v>
      </c>
      <c r="AV6" s="1">
        <f>MAX($C$8:$C$89)</f>
        <v>100</v>
      </c>
    </row>
    <row r="7" spans="1:48" x14ac:dyDescent="0.4">
      <c r="A7" s="56"/>
      <c r="B7" s="3"/>
      <c r="C7" s="12">
        <f t="shared" ref="C7" si="0">SUM(E7,U7,AC7,AL7,$D$5)</f>
        <v>100</v>
      </c>
      <c r="D7" s="17"/>
      <c r="E7" s="15">
        <f t="shared" ref="E7" si="1">$E$5-F7</f>
        <v>42</v>
      </c>
      <c r="F7" s="3">
        <f t="shared" ref="F7" si="2">COUNTIF(G7:T7,"×")*3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7"/>
      <c r="U7" s="20">
        <f t="shared" ref="U7" si="3">$U$5-V7</f>
        <v>18</v>
      </c>
      <c r="V7" s="3">
        <f t="shared" ref="V7" si="4">COUNTIF(W7:AB7,"×")*3</f>
        <v>0</v>
      </c>
      <c r="W7" s="2"/>
      <c r="X7" s="2"/>
      <c r="Y7" s="2"/>
      <c r="Z7" s="2"/>
      <c r="AA7" s="2"/>
      <c r="AB7" s="7"/>
      <c r="AC7" s="20">
        <f t="shared" ref="AC7" si="5">$AC$5-AD7</f>
        <v>14</v>
      </c>
      <c r="AD7" s="3">
        <f t="shared" ref="AD7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" si="7">$AL$5-AM7</f>
        <v>21</v>
      </c>
      <c r="AM7" s="3">
        <f t="shared" ref="AM7" si="8">COUNTIF(AN7:AT7,"×")*3</f>
        <v>0</v>
      </c>
      <c r="AN7" s="2"/>
      <c r="AO7" s="2"/>
      <c r="AP7" s="2"/>
      <c r="AQ7" s="2"/>
      <c r="AR7" s="2"/>
      <c r="AS7" s="2"/>
      <c r="AT7" s="7"/>
      <c r="AU7" s="1" t="s">
        <v>285</v>
      </c>
      <c r="AV7" s="1">
        <f>MIN($C$8:$C$89)</f>
        <v>5</v>
      </c>
    </row>
    <row r="8" spans="1:48" x14ac:dyDescent="0.4">
      <c r="A8" s="56">
        <v>22014</v>
      </c>
      <c r="B8" s="3" t="s">
        <v>148</v>
      </c>
      <c r="C8" s="12">
        <f>SUM(E8,U8,AC8,AL8,$D$5)</f>
        <v>97</v>
      </c>
      <c r="D8" s="17">
        <v>0</v>
      </c>
      <c r="E8" s="15">
        <f>$E$5-F8</f>
        <v>39</v>
      </c>
      <c r="F8" s="3">
        <f>COUNTIF(G8:T8,"×")*3</f>
        <v>3</v>
      </c>
      <c r="G8" s="2" t="s">
        <v>188</v>
      </c>
      <c r="H8" s="2" t="s">
        <v>188</v>
      </c>
      <c r="I8" s="2" t="s">
        <v>188</v>
      </c>
      <c r="J8" s="2" t="s">
        <v>188</v>
      </c>
      <c r="K8" s="2" t="s">
        <v>188</v>
      </c>
      <c r="L8" s="2" t="s">
        <v>188</v>
      </c>
      <c r="M8" s="2" t="s">
        <v>188</v>
      </c>
      <c r="N8" s="2" t="s">
        <v>188</v>
      </c>
      <c r="O8" s="2" t="s">
        <v>188</v>
      </c>
      <c r="P8" s="2" t="s">
        <v>188</v>
      </c>
      <c r="Q8" s="2" t="s">
        <v>188</v>
      </c>
      <c r="R8" s="2" t="s">
        <v>188</v>
      </c>
      <c r="S8" s="2" t="s">
        <v>133</v>
      </c>
      <c r="T8" s="7" t="s">
        <v>188</v>
      </c>
      <c r="U8" s="20">
        <f>$U$5-V8</f>
        <v>18</v>
      </c>
      <c r="V8" s="3">
        <f>COUNTIF(W8:AB8,"×")*3</f>
        <v>0</v>
      </c>
      <c r="W8" s="2" t="s">
        <v>290</v>
      </c>
      <c r="X8" s="2" t="s">
        <v>290</v>
      </c>
      <c r="Y8" s="2" t="s">
        <v>290</v>
      </c>
      <c r="Z8" s="2" t="s">
        <v>290</v>
      </c>
      <c r="AA8" s="2" t="s">
        <v>290</v>
      </c>
      <c r="AB8" s="7" t="s">
        <v>290</v>
      </c>
      <c r="AC8" s="20">
        <f>$AC$5-AD8</f>
        <v>14</v>
      </c>
      <c r="AD8" s="3">
        <f>COUNTIF(AE8:AK8,"×")*2</f>
        <v>0</v>
      </c>
      <c r="AE8" s="2" t="s">
        <v>290</v>
      </c>
      <c r="AF8" s="2" t="s">
        <v>290</v>
      </c>
      <c r="AG8" s="2" t="s">
        <v>290</v>
      </c>
      <c r="AH8" s="2" t="s">
        <v>290</v>
      </c>
      <c r="AI8" s="2" t="s">
        <v>290</v>
      </c>
      <c r="AJ8" s="2" t="s">
        <v>290</v>
      </c>
      <c r="AK8" s="7" t="s">
        <v>290</v>
      </c>
      <c r="AL8" s="20">
        <f>$AL$5-AM8</f>
        <v>21</v>
      </c>
      <c r="AM8" s="3">
        <f>COUNTIF(AN8:AT8,"×")*3</f>
        <v>0</v>
      </c>
      <c r="AN8" s="2" t="s">
        <v>190</v>
      </c>
      <c r="AO8" s="2" t="s">
        <v>190</v>
      </c>
      <c r="AP8" s="2" t="s">
        <v>190</v>
      </c>
      <c r="AQ8" s="2" t="s">
        <v>190</v>
      </c>
      <c r="AR8" s="2" t="s">
        <v>190</v>
      </c>
      <c r="AS8" s="2" t="s">
        <v>190</v>
      </c>
      <c r="AT8" s="7" t="s">
        <v>190</v>
      </c>
      <c r="AU8" s="1">
        <f t="shared" ref="AU8:AU47" si="9">INT(10*SQRT(C8))</f>
        <v>98</v>
      </c>
    </row>
    <row r="9" spans="1:48" x14ac:dyDescent="0.4">
      <c r="A9" s="56">
        <v>22016</v>
      </c>
      <c r="B9" s="3" t="s">
        <v>149</v>
      </c>
      <c r="C9" s="12">
        <f>SUM(E9,U9,AC9,AL9,$D$5)</f>
        <v>73</v>
      </c>
      <c r="D9" s="17">
        <v>0</v>
      </c>
      <c r="E9" s="15">
        <f>$E$5-F9</f>
        <v>36</v>
      </c>
      <c r="F9" s="3">
        <f>COUNTIF(G9:T9,"×")*3</f>
        <v>6</v>
      </c>
      <c r="G9" s="2" t="s">
        <v>204</v>
      </c>
      <c r="H9" s="2" t="s">
        <v>195</v>
      </c>
      <c r="I9" s="2" t="s">
        <v>210</v>
      </c>
      <c r="J9" s="2" t="s">
        <v>211</v>
      </c>
      <c r="K9" s="2" t="s">
        <v>195</v>
      </c>
      <c r="L9" s="2" t="s">
        <v>195</v>
      </c>
      <c r="M9" s="2" t="s">
        <v>210</v>
      </c>
      <c r="N9" s="2" t="s">
        <v>210</v>
      </c>
      <c r="O9" s="2" t="s">
        <v>195</v>
      </c>
      <c r="P9" s="2" t="s">
        <v>210</v>
      </c>
      <c r="Q9" s="2" t="s">
        <v>195</v>
      </c>
      <c r="R9" s="2" t="s">
        <v>205</v>
      </c>
      <c r="S9" s="2" t="s">
        <v>211</v>
      </c>
      <c r="T9" s="7" t="s">
        <v>210</v>
      </c>
      <c r="U9" s="20">
        <f>$U$5-V9</f>
        <v>18</v>
      </c>
      <c r="V9" s="3">
        <f>COUNTIF(W9:AB9,"×")*3</f>
        <v>0</v>
      </c>
      <c r="W9" s="2" t="s">
        <v>195</v>
      </c>
      <c r="X9" s="2" t="s">
        <v>208</v>
      </c>
      <c r="Y9" s="2" t="s">
        <v>212</v>
      </c>
      <c r="Z9" s="2" t="s">
        <v>242</v>
      </c>
      <c r="AA9" s="2" t="s">
        <v>242</v>
      </c>
      <c r="AB9" s="7" t="s">
        <v>242</v>
      </c>
      <c r="AC9" s="20">
        <f>$AC$5-AD9</f>
        <v>14</v>
      </c>
      <c r="AD9" s="3">
        <f>COUNTIF(AE9:AK9,"×")*2</f>
        <v>0</v>
      </c>
      <c r="AE9" s="2" t="s">
        <v>263</v>
      </c>
      <c r="AF9" s="2" t="s">
        <v>263</v>
      </c>
      <c r="AG9" s="2" t="s">
        <v>264</v>
      </c>
      <c r="AH9" s="2" t="s">
        <v>265</v>
      </c>
      <c r="AI9" s="2" t="s">
        <v>266</v>
      </c>
      <c r="AJ9" s="2" t="s">
        <v>266</v>
      </c>
      <c r="AK9" s="7" t="s">
        <v>267</v>
      </c>
      <c r="AL9" s="20">
        <f>$AL$5-AM9</f>
        <v>0</v>
      </c>
      <c r="AM9" s="3">
        <f>COUNTIF(AN9:AT9,"×")*3</f>
        <v>21</v>
      </c>
      <c r="AN9" s="2" t="s">
        <v>279</v>
      </c>
      <c r="AO9" s="2" t="s">
        <v>279</v>
      </c>
      <c r="AP9" s="2" t="s">
        <v>280</v>
      </c>
      <c r="AQ9" s="2" t="s">
        <v>279</v>
      </c>
      <c r="AR9" s="2" t="s">
        <v>279</v>
      </c>
      <c r="AS9" s="2" t="s">
        <v>280</v>
      </c>
      <c r="AT9" s="7" t="s">
        <v>280</v>
      </c>
      <c r="AU9" s="1">
        <f t="shared" si="9"/>
        <v>85</v>
      </c>
    </row>
    <row r="10" spans="1:48" x14ac:dyDescent="0.4">
      <c r="A10" s="56">
        <v>22018</v>
      </c>
      <c r="B10" s="3" t="s">
        <v>150</v>
      </c>
      <c r="C10" s="12">
        <f>SUM(E10,U10,AC10,AL10,$D$5)</f>
        <v>5</v>
      </c>
      <c r="D10" s="17">
        <v>0</v>
      </c>
      <c r="E10" s="15">
        <f>$E$5-F10</f>
        <v>0</v>
      </c>
      <c r="F10" s="3">
        <f>COUNTIF(G10:T10,"×")*3</f>
        <v>42</v>
      </c>
      <c r="G10" s="2" t="s">
        <v>200</v>
      </c>
      <c r="H10" s="2" t="s">
        <v>211</v>
      </c>
      <c r="I10" s="2" t="s">
        <v>200</v>
      </c>
      <c r="J10" s="2" t="s">
        <v>200</v>
      </c>
      <c r="K10" s="2" t="s">
        <v>200</v>
      </c>
      <c r="L10" s="2" t="s">
        <v>200</v>
      </c>
      <c r="M10" s="2" t="s">
        <v>207</v>
      </c>
      <c r="N10" s="2" t="s">
        <v>200</v>
      </c>
      <c r="O10" s="2" t="s">
        <v>200</v>
      </c>
      <c r="P10" s="2" t="s">
        <v>211</v>
      </c>
      <c r="Q10" s="2" t="s">
        <v>200</v>
      </c>
      <c r="R10" s="2" t="s">
        <v>207</v>
      </c>
      <c r="S10" s="2" t="s">
        <v>200</v>
      </c>
      <c r="T10" s="7" t="s">
        <v>202</v>
      </c>
      <c r="U10" s="20">
        <f>$U$5-V10</f>
        <v>0</v>
      </c>
      <c r="V10" s="3">
        <f>COUNTIF(W10:AB10,"×")*3</f>
        <v>18</v>
      </c>
      <c r="W10" s="2" t="s">
        <v>200</v>
      </c>
      <c r="X10" s="2" t="s">
        <v>200</v>
      </c>
      <c r="Y10" s="2" t="s">
        <v>200</v>
      </c>
      <c r="Z10" s="2" t="s">
        <v>200</v>
      </c>
      <c r="AA10" s="2" t="s">
        <v>200</v>
      </c>
      <c r="AB10" s="7" t="s">
        <v>202</v>
      </c>
      <c r="AC10" s="20">
        <f>$AC$5-AD10</f>
        <v>0</v>
      </c>
      <c r="AD10" s="3">
        <f>COUNTIF(AE10:AK10,"×")*2</f>
        <v>14</v>
      </c>
      <c r="AE10" s="2" t="s">
        <v>200</v>
      </c>
      <c r="AF10" s="2" t="s">
        <v>200</v>
      </c>
      <c r="AG10" s="2" t="s">
        <v>200</v>
      </c>
      <c r="AH10" s="2" t="s">
        <v>243</v>
      </c>
      <c r="AI10" s="2" t="s">
        <v>202</v>
      </c>
      <c r="AJ10" s="2" t="s">
        <v>244</v>
      </c>
      <c r="AK10" s="7" t="s">
        <v>200</v>
      </c>
      <c r="AL10" s="20">
        <f>$AL$5-AM10</f>
        <v>0</v>
      </c>
      <c r="AM10" s="3">
        <f>COUNTIF(AN10:AT10,"×")*3</f>
        <v>21</v>
      </c>
      <c r="AN10" s="2" t="s">
        <v>280</v>
      </c>
      <c r="AO10" s="2" t="s">
        <v>280</v>
      </c>
      <c r="AP10" s="2" t="s">
        <v>280</v>
      </c>
      <c r="AQ10" s="2" t="s">
        <v>280</v>
      </c>
      <c r="AR10" s="2" t="s">
        <v>280</v>
      </c>
      <c r="AS10" s="2" t="s">
        <v>280</v>
      </c>
      <c r="AT10" s="7" t="s">
        <v>280</v>
      </c>
      <c r="AU10" s="1">
        <f t="shared" si="9"/>
        <v>22</v>
      </c>
    </row>
    <row r="11" spans="1:48" x14ac:dyDescent="0.4">
      <c r="A11" s="56">
        <v>22019</v>
      </c>
      <c r="B11" s="3" t="s">
        <v>151</v>
      </c>
      <c r="C11" s="12">
        <f>SUM(E11,U11,AC11,AL11,$D$5)</f>
        <v>89</v>
      </c>
      <c r="D11" s="17">
        <v>0</v>
      </c>
      <c r="E11" s="15">
        <f>$E$5-F11</f>
        <v>36</v>
      </c>
      <c r="F11" s="3">
        <f>COUNTIF(G11:T11,"×")*3</f>
        <v>6</v>
      </c>
      <c r="G11" s="2" t="s">
        <v>188</v>
      </c>
      <c r="H11" s="2" t="s">
        <v>188</v>
      </c>
      <c r="I11" s="2" t="s">
        <v>188</v>
      </c>
      <c r="J11" s="2" t="s">
        <v>133</v>
      </c>
      <c r="K11" s="2" t="s">
        <v>188</v>
      </c>
      <c r="L11" s="2" t="s">
        <v>188</v>
      </c>
      <c r="M11" s="2" t="s">
        <v>188</v>
      </c>
      <c r="N11" s="2" t="s">
        <v>188</v>
      </c>
      <c r="O11" s="2" t="s">
        <v>188</v>
      </c>
      <c r="P11" s="2" t="s">
        <v>188</v>
      </c>
      <c r="Q11" s="2" t="s">
        <v>188</v>
      </c>
      <c r="R11" s="2" t="s">
        <v>188</v>
      </c>
      <c r="S11" s="2" t="s">
        <v>133</v>
      </c>
      <c r="T11" s="7" t="s">
        <v>188</v>
      </c>
      <c r="U11" s="20">
        <f>$U$5-V11</f>
        <v>18</v>
      </c>
      <c r="V11" s="3">
        <f>COUNTIF(W11:AB11,"×")*3</f>
        <v>0</v>
      </c>
      <c r="W11" s="2" t="s">
        <v>290</v>
      </c>
      <c r="X11" s="2" t="s">
        <v>290</v>
      </c>
      <c r="Y11" s="2" t="s">
        <v>290</v>
      </c>
      <c r="Z11" s="2" t="s">
        <v>290</v>
      </c>
      <c r="AA11" s="2" t="s">
        <v>290</v>
      </c>
      <c r="AB11" s="7" t="s">
        <v>290</v>
      </c>
      <c r="AC11" s="20">
        <f>$AC$5-AD11</f>
        <v>12</v>
      </c>
      <c r="AD11" s="3">
        <f>COUNTIF(AE11:AK11,"×")*2</f>
        <v>2</v>
      </c>
      <c r="AE11" s="2" t="s">
        <v>290</v>
      </c>
      <c r="AF11" s="2" t="s">
        <v>290</v>
      </c>
      <c r="AG11" s="2" t="s">
        <v>290</v>
      </c>
      <c r="AH11" s="2" t="s">
        <v>290</v>
      </c>
      <c r="AI11" s="2" t="s">
        <v>290</v>
      </c>
      <c r="AJ11" s="2" t="s">
        <v>290</v>
      </c>
      <c r="AK11" s="7" t="s">
        <v>291</v>
      </c>
      <c r="AL11" s="20">
        <f>$AL$5-AM11</f>
        <v>18</v>
      </c>
      <c r="AM11" s="3">
        <f>COUNTIF(AN11:AT11,"×")*3</f>
        <v>3</v>
      </c>
      <c r="AN11" s="2" t="s">
        <v>291</v>
      </c>
      <c r="AO11" s="2" t="s">
        <v>290</v>
      </c>
      <c r="AP11" s="2" t="s">
        <v>290</v>
      </c>
      <c r="AQ11" s="2" t="s">
        <v>290</v>
      </c>
      <c r="AR11" s="2" t="s">
        <v>290</v>
      </c>
      <c r="AS11" s="2" t="s">
        <v>290</v>
      </c>
      <c r="AT11" s="7" t="s">
        <v>290</v>
      </c>
      <c r="AU11" s="1">
        <f t="shared" si="9"/>
        <v>94</v>
      </c>
    </row>
    <row r="12" spans="1:48" x14ac:dyDescent="0.4">
      <c r="A12" s="56">
        <v>22020</v>
      </c>
      <c r="B12" s="3" t="s">
        <v>152</v>
      </c>
      <c r="C12" s="12">
        <f>SUM(E12,U12,AC12,AL12,$D$5)</f>
        <v>60</v>
      </c>
      <c r="D12" s="17">
        <v>0</v>
      </c>
      <c r="E12" s="15">
        <f>$E$5-F12</f>
        <v>27</v>
      </c>
      <c r="F12" s="3">
        <f>COUNTIF(G12:T12,"×")*3</f>
        <v>15</v>
      </c>
      <c r="G12" s="2" t="s">
        <v>195</v>
      </c>
      <c r="H12" s="2" t="s">
        <v>212</v>
      </c>
      <c r="I12" s="2" t="s">
        <v>195</v>
      </c>
      <c r="J12" s="2" t="s">
        <v>195</v>
      </c>
      <c r="K12" s="2" t="s">
        <v>213</v>
      </c>
      <c r="L12" s="2" t="s">
        <v>213</v>
      </c>
      <c r="M12" s="2" t="s">
        <v>214</v>
      </c>
      <c r="N12" s="2" t="s">
        <v>200</v>
      </c>
      <c r="O12" s="2" t="s">
        <v>207</v>
      </c>
      <c r="P12" s="2" t="s">
        <v>195</v>
      </c>
      <c r="Q12" s="2" t="s">
        <v>195</v>
      </c>
      <c r="R12" s="2" t="s">
        <v>214</v>
      </c>
      <c r="S12" s="2" t="s">
        <v>214</v>
      </c>
      <c r="T12" s="7" t="s">
        <v>212</v>
      </c>
      <c r="U12" s="20">
        <f>$U$5-V12</f>
        <v>18</v>
      </c>
      <c r="V12" s="3">
        <f>COUNTIF(W12:AB12,"×")*3</f>
        <v>0</v>
      </c>
      <c r="W12" s="2" t="s">
        <v>248</v>
      </c>
      <c r="X12" s="2" t="s">
        <v>248</v>
      </c>
      <c r="Y12" s="2" t="s">
        <v>212</v>
      </c>
      <c r="Z12" s="2" t="s">
        <v>195</v>
      </c>
      <c r="AA12" s="2" t="s">
        <v>195</v>
      </c>
      <c r="AB12" s="7" t="s">
        <v>195</v>
      </c>
      <c r="AC12" s="20">
        <f>$AC$5-AD12</f>
        <v>10</v>
      </c>
      <c r="AD12" s="3">
        <f>COUNTIF(AE12:AK12,"×")*2</f>
        <v>4</v>
      </c>
      <c r="AE12" s="2" t="s">
        <v>266</v>
      </c>
      <c r="AF12" s="2" t="s">
        <v>268</v>
      </c>
      <c r="AG12" s="2" t="s">
        <v>266</v>
      </c>
      <c r="AH12" s="2" t="s">
        <v>266</v>
      </c>
      <c r="AI12" s="2" t="s">
        <v>266</v>
      </c>
      <c r="AJ12" s="2" t="s">
        <v>115</v>
      </c>
      <c r="AK12" s="7" t="s">
        <v>115</v>
      </c>
      <c r="AL12" s="20">
        <f>$AL$5-AM12</f>
        <v>0</v>
      </c>
      <c r="AM12" s="3">
        <f>COUNTIF(AN12:AT12,"×")*3</f>
        <v>21</v>
      </c>
      <c r="AN12" s="2" t="s">
        <v>281</v>
      </c>
      <c r="AO12" s="2" t="s">
        <v>281</v>
      </c>
      <c r="AP12" s="2" t="s">
        <v>280</v>
      </c>
      <c r="AQ12" s="2" t="s">
        <v>280</v>
      </c>
      <c r="AR12" s="2" t="s">
        <v>280</v>
      </c>
      <c r="AS12" s="2" t="s">
        <v>280</v>
      </c>
      <c r="AT12" s="7" t="s">
        <v>280</v>
      </c>
      <c r="AU12" s="1">
        <f t="shared" si="9"/>
        <v>77</v>
      </c>
    </row>
    <row r="13" spans="1:48" x14ac:dyDescent="0.4">
      <c r="A13" s="56">
        <v>22021</v>
      </c>
      <c r="B13" s="3" t="s">
        <v>153</v>
      </c>
      <c r="C13" s="12">
        <f>SUM(E13,U13,AC13,AL13,$D$5)</f>
        <v>49</v>
      </c>
      <c r="D13" s="17">
        <v>0</v>
      </c>
      <c r="E13" s="15">
        <f>$E$5-F13</f>
        <v>27</v>
      </c>
      <c r="F13" s="3">
        <f>COUNTIF(G13:T13,"×")*3</f>
        <v>15</v>
      </c>
      <c r="G13" s="2" t="s">
        <v>195</v>
      </c>
      <c r="H13" s="2" t="s">
        <v>200</v>
      </c>
      <c r="I13" s="2" t="s">
        <v>200</v>
      </c>
      <c r="J13" s="2" t="s">
        <v>207</v>
      </c>
      <c r="K13" s="2" t="s">
        <v>195</v>
      </c>
      <c r="L13" s="2" t="s">
        <v>208</v>
      </c>
      <c r="M13" s="2" t="s">
        <v>208</v>
      </c>
      <c r="N13" s="2" t="s">
        <v>205</v>
      </c>
      <c r="O13" s="2" t="s">
        <v>195</v>
      </c>
      <c r="P13" s="2" t="s">
        <v>199</v>
      </c>
      <c r="Q13" s="2" t="s">
        <v>208</v>
      </c>
      <c r="R13" s="2" t="s">
        <v>195</v>
      </c>
      <c r="S13" s="2" t="s">
        <v>209</v>
      </c>
      <c r="T13" s="7" t="s">
        <v>209</v>
      </c>
      <c r="U13" s="20">
        <f>$U$5-V13</f>
        <v>9</v>
      </c>
      <c r="V13" s="3">
        <f>COUNTIF(W13:AB13,"×")*3</f>
        <v>9</v>
      </c>
      <c r="W13" s="2" t="s">
        <v>248</v>
      </c>
      <c r="X13" s="2" t="s">
        <v>195</v>
      </c>
      <c r="Y13" s="2" t="s">
        <v>200</v>
      </c>
      <c r="Z13" s="2" t="s">
        <v>245</v>
      </c>
      <c r="AA13" s="2" t="s">
        <v>200</v>
      </c>
      <c r="AB13" s="7" t="s">
        <v>248</v>
      </c>
      <c r="AC13" s="20">
        <f>$AC$5-AD13</f>
        <v>8</v>
      </c>
      <c r="AD13" s="3">
        <f>COUNTIF(AE13:AK13,"×")*2</f>
        <v>6</v>
      </c>
      <c r="AE13" s="2" t="s">
        <v>270</v>
      </c>
      <c r="AF13" s="2" t="s">
        <v>266</v>
      </c>
      <c r="AG13" s="2" t="s">
        <v>115</v>
      </c>
      <c r="AH13" s="2" t="s">
        <v>115</v>
      </c>
      <c r="AI13" s="2" t="s">
        <v>115</v>
      </c>
      <c r="AJ13" s="2" t="s">
        <v>266</v>
      </c>
      <c r="AK13" s="7" t="s">
        <v>266</v>
      </c>
      <c r="AL13" s="20">
        <f>$AL$5-AM13</f>
        <v>0</v>
      </c>
      <c r="AM13" s="3">
        <f>COUNTIF(AN13:AT13,"×")*3</f>
        <v>21</v>
      </c>
      <c r="AN13" s="2" t="s">
        <v>282</v>
      </c>
      <c r="AO13" s="2" t="s">
        <v>282</v>
      </c>
      <c r="AP13" s="2" t="s">
        <v>283</v>
      </c>
      <c r="AQ13" s="2" t="s">
        <v>283</v>
      </c>
      <c r="AR13" s="2" t="s">
        <v>280</v>
      </c>
      <c r="AS13" s="2" t="s">
        <v>282</v>
      </c>
      <c r="AT13" s="7" t="s">
        <v>282</v>
      </c>
      <c r="AU13" s="1">
        <f t="shared" si="9"/>
        <v>70</v>
      </c>
    </row>
    <row r="14" spans="1:48" x14ac:dyDescent="0.4">
      <c r="A14" s="56">
        <v>22032</v>
      </c>
      <c r="B14" s="3" t="s">
        <v>154</v>
      </c>
      <c r="C14" s="12">
        <f>SUM(E14,U14,AC14,AL14,$D$5)</f>
        <v>68</v>
      </c>
      <c r="D14" s="17">
        <v>0</v>
      </c>
      <c r="E14" s="15">
        <f>$E$5-F14</f>
        <v>33</v>
      </c>
      <c r="F14" s="3">
        <f>COUNTIF(G14:T14,"×")*3</f>
        <v>9</v>
      </c>
      <c r="G14" s="2" t="s">
        <v>198</v>
      </c>
      <c r="H14" s="2" t="s">
        <v>198</v>
      </c>
      <c r="I14" s="2" t="s">
        <v>195</v>
      </c>
      <c r="J14" s="2" t="s">
        <v>198</v>
      </c>
      <c r="K14" s="2" t="s">
        <v>198</v>
      </c>
      <c r="L14" s="2" t="s">
        <v>197</v>
      </c>
      <c r="M14" s="2" t="s">
        <v>202</v>
      </c>
      <c r="N14" s="2" t="s">
        <v>198</v>
      </c>
      <c r="O14" s="2" t="s">
        <v>198</v>
      </c>
      <c r="P14" s="2" t="s">
        <v>195</v>
      </c>
      <c r="Q14" s="2" t="s">
        <v>195</v>
      </c>
      <c r="R14" s="2" t="s">
        <v>198</v>
      </c>
      <c r="S14" s="2" t="s">
        <v>200</v>
      </c>
      <c r="T14" s="7" t="s">
        <v>198</v>
      </c>
      <c r="U14" s="20">
        <f>$U$5-V14</f>
        <v>18</v>
      </c>
      <c r="V14" s="3">
        <f>COUNTIF(W14:AB14,"×")*3</f>
        <v>0</v>
      </c>
      <c r="W14" s="2" t="s">
        <v>204</v>
      </c>
      <c r="X14" s="2" t="s">
        <v>204</v>
      </c>
      <c r="Y14" s="2" t="s">
        <v>204</v>
      </c>
      <c r="Z14" s="2" t="s">
        <v>204</v>
      </c>
      <c r="AA14" s="2" t="s">
        <v>204</v>
      </c>
      <c r="AB14" s="7" t="s">
        <v>246</v>
      </c>
      <c r="AC14" s="20">
        <f>$AC$5-AD14</f>
        <v>12</v>
      </c>
      <c r="AD14" s="3">
        <f>COUNTIF(AE14:AK14,"×")*2</f>
        <v>2</v>
      </c>
      <c r="AE14" s="2" t="s">
        <v>266</v>
      </c>
      <c r="AF14" s="2" t="s">
        <v>264</v>
      </c>
      <c r="AG14" s="2" t="s">
        <v>266</v>
      </c>
      <c r="AH14" s="2" t="s">
        <v>266</v>
      </c>
      <c r="AI14" s="2" t="s">
        <v>265</v>
      </c>
      <c r="AJ14" s="2" t="s">
        <v>266</v>
      </c>
      <c r="AK14" s="7" t="s">
        <v>271</v>
      </c>
      <c r="AL14" s="20">
        <f>$AL$5-AM14</f>
        <v>0</v>
      </c>
      <c r="AM14" s="3">
        <f>COUNTIF(AN14:AT14,"×")*3</f>
        <v>21</v>
      </c>
      <c r="AN14" s="2" t="s">
        <v>115</v>
      </c>
      <c r="AO14" s="2" t="s">
        <v>115</v>
      </c>
      <c r="AP14" s="2" t="s">
        <v>115</v>
      </c>
      <c r="AQ14" s="2" t="s">
        <v>115</v>
      </c>
      <c r="AR14" s="2" t="s">
        <v>115</v>
      </c>
      <c r="AS14" s="2" t="s">
        <v>115</v>
      </c>
      <c r="AT14" s="7" t="s">
        <v>115</v>
      </c>
      <c r="AU14" s="1">
        <f t="shared" si="9"/>
        <v>82</v>
      </c>
    </row>
    <row r="15" spans="1:48" x14ac:dyDescent="0.4">
      <c r="A15" s="56">
        <v>22033</v>
      </c>
      <c r="B15" s="3" t="s">
        <v>155</v>
      </c>
      <c r="C15" s="12">
        <f>SUM(E15,U15,AC15,AL15,$D$5)</f>
        <v>94</v>
      </c>
      <c r="D15" s="17">
        <v>0</v>
      </c>
      <c r="E15" s="15">
        <f>$E$5-F15</f>
        <v>36</v>
      </c>
      <c r="F15" s="3">
        <f>COUNTIF(G15:T15,"×")*3</f>
        <v>6</v>
      </c>
      <c r="G15" s="2" t="s">
        <v>215</v>
      </c>
      <c r="H15" s="2" t="s">
        <v>212</v>
      </c>
      <c r="I15" s="2" t="s">
        <v>195</v>
      </c>
      <c r="J15" s="2" t="s">
        <v>207</v>
      </c>
      <c r="K15" s="2" t="s">
        <v>215</v>
      </c>
      <c r="L15" s="2" t="s">
        <v>199</v>
      </c>
      <c r="M15" s="2" t="s">
        <v>195</v>
      </c>
      <c r="N15" s="2" t="s">
        <v>195</v>
      </c>
      <c r="O15" s="2" t="s">
        <v>199</v>
      </c>
      <c r="P15" s="2" t="s">
        <v>215</v>
      </c>
      <c r="Q15" s="2" t="s">
        <v>215</v>
      </c>
      <c r="R15" s="2" t="s">
        <v>215</v>
      </c>
      <c r="S15" s="2" t="s">
        <v>216</v>
      </c>
      <c r="T15" s="7" t="s">
        <v>215</v>
      </c>
      <c r="U15" s="20">
        <f>$U$5-V15</f>
        <v>18</v>
      </c>
      <c r="V15" s="3">
        <f>COUNTIF(W15:AB15,"×")*3</f>
        <v>0</v>
      </c>
      <c r="W15" s="2" t="s">
        <v>195</v>
      </c>
      <c r="X15" s="2" t="s">
        <v>204</v>
      </c>
      <c r="Y15" s="2" t="s">
        <v>246</v>
      </c>
      <c r="Z15" s="2" t="s">
        <v>247</v>
      </c>
      <c r="AA15" s="2" t="s">
        <v>246</v>
      </c>
      <c r="AB15" s="7" t="s">
        <v>204</v>
      </c>
      <c r="AC15" s="20">
        <f>$AC$5-AD15</f>
        <v>14</v>
      </c>
      <c r="AD15" s="3">
        <f>COUNTIF(AE15:AK15,"×")*2</f>
        <v>0</v>
      </c>
      <c r="AE15" s="2" t="s">
        <v>267</v>
      </c>
      <c r="AF15" s="2" t="s">
        <v>266</v>
      </c>
      <c r="AG15" s="2" t="s">
        <v>266</v>
      </c>
      <c r="AH15" s="2" t="s">
        <v>265</v>
      </c>
      <c r="AI15" s="2" t="s">
        <v>265</v>
      </c>
      <c r="AJ15" s="2" t="s">
        <v>265</v>
      </c>
      <c r="AK15" s="7" t="s">
        <v>265</v>
      </c>
      <c r="AL15" s="20">
        <f>$AL$5-AM15</f>
        <v>21</v>
      </c>
      <c r="AM15" s="3">
        <f>COUNTIF(AN15:AT15,"×")*3</f>
        <v>0</v>
      </c>
      <c r="AN15" s="2" t="s">
        <v>190</v>
      </c>
      <c r="AO15" s="2" t="s">
        <v>190</v>
      </c>
      <c r="AP15" s="2" t="s">
        <v>190</v>
      </c>
      <c r="AQ15" s="2" t="s">
        <v>190</v>
      </c>
      <c r="AR15" s="2" t="s">
        <v>190</v>
      </c>
      <c r="AS15" s="2" t="s">
        <v>190</v>
      </c>
      <c r="AT15" s="7" t="s">
        <v>190</v>
      </c>
      <c r="AU15" s="1">
        <f t="shared" si="9"/>
        <v>96</v>
      </c>
    </row>
    <row r="16" spans="1:48" x14ac:dyDescent="0.4">
      <c r="A16" s="56">
        <v>22037</v>
      </c>
      <c r="B16" s="3" t="s">
        <v>156</v>
      </c>
      <c r="C16" s="12">
        <f>SUM(E16,U16,AC16,AL16,$D$5)</f>
        <v>53</v>
      </c>
      <c r="D16" s="17">
        <v>0</v>
      </c>
      <c r="E16" s="15">
        <f>$E$5-F16</f>
        <v>18</v>
      </c>
      <c r="F16" s="3">
        <f>COUNTIF(G16:T16,"×")*3</f>
        <v>24</v>
      </c>
      <c r="G16" s="2" t="s">
        <v>188</v>
      </c>
      <c r="H16" s="2" t="s">
        <v>188</v>
      </c>
      <c r="I16" s="2" t="s">
        <v>133</v>
      </c>
      <c r="J16" s="2" t="s">
        <v>133</v>
      </c>
      <c r="K16" s="2" t="s">
        <v>188</v>
      </c>
      <c r="L16" s="2" t="s">
        <v>188</v>
      </c>
      <c r="M16" s="2" t="s">
        <v>133</v>
      </c>
      <c r="N16" s="2" t="s">
        <v>133</v>
      </c>
      <c r="O16" s="2" t="s">
        <v>133</v>
      </c>
      <c r="P16" s="2" t="s">
        <v>133</v>
      </c>
      <c r="Q16" s="2" t="s">
        <v>133</v>
      </c>
      <c r="R16" s="2" t="s">
        <v>188</v>
      </c>
      <c r="S16" s="2" t="s">
        <v>133</v>
      </c>
      <c r="T16" s="7" t="s">
        <v>188</v>
      </c>
      <c r="U16" s="20">
        <f>$U$5-V16</f>
        <v>18</v>
      </c>
      <c r="V16" s="3">
        <f>COUNTIF(W16:AB16,"×")*3</f>
        <v>0</v>
      </c>
      <c r="W16" s="2" t="s">
        <v>286</v>
      </c>
      <c r="X16" s="2" t="s">
        <v>286</v>
      </c>
      <c r="Y16" s="2" t="s">
        <v>286</v>
      </c>
      <c r="Z16" s="2" t="s">
        <v>286</v>
      </c>
      <c r="AA16" s="2" t="s">
        <v>286</v>
      </c>
      <c r="AB16" s="7" t="s">
        <v>286</v>
      </c>
      <c r="AC16" s="20">
        <f>$AC$5-AD16</f>
        <v>12</v>
      </c>
      <c r="AD16" s="3">
        <f>COUNTIF(AE16:AK16,"×")*2</f>
        <v>2</v>
      </c>
      <c r="AE16" s="2" t="s">
        <v>286</v>
      </c>
      <c r="AF16" s="2" t="s">
        <v>286</v>
      </c>
      <c r="AG16" s="2" t="s">
        <v>286</v>
      </c>
      <c r="AH16" s="2" t="s">
        <v>286</v>
      </c>
      <c r="AI16" s="2" t="s">
        <v>287</v>
      </c>
      <c r="AJ16" s="2" t="s">
        <v>286</v>
      </c>
      <c r="AK16" s="7" t="s">
        <v>286</v>
      </c>
      <c r="AL16" s="20">
        <f>$AL$5-AM16</f>
        <v>0</v>
      </c>
      <c r="AM16" s="3">
        <f>COUNTIF(AN16:AT16,"×")*3</f>
        <v>21</v>
      </c>
      <c r="AN16" s="2" t="s">
        <v>287</v>
      </c>
      <c r="AO16" s="2" t="s">
        <v>287</v>
      </c>
      <c r="AP16" s="2" t="s">
        <v>287</v>
      </c>
      <c r="AQ16" s="2" t="s">
        <v>287</v>
      </c>
      <c r="AR16" s="2" t="s">
        <v>287</v>
      </c>
      <c r="AS16" s="2" t="s">
        <v>287</v>
      </c>
      <c r="AT16" s="7" t="s">
        <v>287</v>
      </c>
      <c r="AU16" s="1">
        <f t="shared" si="9"/>
        <v>72</v>
      </c>
    </row>
    <row r="17" spans="1:47" x14ac:dyDescent="0.4">
      <c r="A17" s="56">
        <v>22039</v>
      </c>
      <c r="B17" s="3" t="s">
        <v>157</v>
      </c>
      <c r="C17" s="12">
        <f>SUM(E17,U17,AC17,AL17,$D$5)</f>
        <v>23</v>
      </c>
      <c r="D17" s="17">
        <v>0</v>
      </c>
      <c r="E17" s="15">
        <f>$E$5-F17</f>
        <v>6</v>
      </c>
      <c r="F17" s="3">
        <f>COUNTIF(G17:T17,"×")*3</f>
        <v>36</v>
      </c>
      <c r="G17" s="2" t="s">
        <v>195</v>
      </c>
      <c r="H17" s="2" t="s">
        <v>200</v>
      </c>
      <c r="I17" s="2" t="s">
        <v>204</v>
      </c>
      <c r="J17" s="2" t="s">
        <v>196</v>
      </c>
      <c r="K17" s="2" t="s">
        <v>200</v>
      </c>
      <c r="L17" s="2" t="s">
        <v>217</v>
      </c>
      <c r="M17" s="2" t="s">
        <v>217</v>
      </c>
      <c r="N17" s="2" t="s">
        <v>217</v>
      </c>
      <c r="O17" s="2" t="s">
        <v>202</v>
      </c>
      <c r="P17" s="2" t="s">
        <v>217</v>
      </c>
      <c r="Q17" s="2" t="s">
        <v>202</v>
      </c>
      <c r="R17" s="2" t="s">
        <v>217</v>
      </c>
      <c r="S17" s="2" t="s">
        <v>217</v>
      </c>
      <c r="T17" s="7" t="s">
        <v>200</v>
      </c>
      <c r="U17" s="20">
        <f>$U$5-V17</f>
        <v>12</v>
      </c>
      <c r="V17" s="3">
        <f>COUNTIF(W17:AB17,"×")*3</f>
        <v>6</v>
      </c>
      <c r="W17" s="2" t="s">
        <v>243</v>
      </c>
      <c r="X17" s="2" t="s">
        <v>249</v>
      </c>
      <c r="Y17" s="2" t="s">
        <v>248</v>
      </c>
      <c r="Z17" s="2" t="s">
        <v>200</v>
      </c>
      <c r="AA17" s="2" t="s">
        <v>249</v>
      </c>
      <c r="AB17" s="7" t="s">
        <v>249</v>
      </c>
      <c r="AC17" s="20">
        <f>$AC$5-AD17</f>
        <v>0</v>
      </c>
      <c r="AD17" s="3">
        <f>COUNTIF(AE17:AK17,"×")*2</f>
        <v>14</v>
      </c>
      <c r="AE17" s="2" t="s">
        <v>115</v>
      </c>
      <c r="AF17" s="2" t="s">
        <v>115</v>
      </c>
      <c r="AG17" s="2" t="s">
        <v>115</v>
      </c>
      <c r="AH17" s="2" t="s">
        <v>115</v>
      </c>
      <c r="AI17" s="2" t="s">
        <v>261</v>
      </c>
      <c r="AJ17" s="2" t="s">
        <v>261</v>
      </c>
      <c r="AK17" s="7" t="s">
        <v>115</v>
      </c>
      <c r="AL17" s="20">
        <f>$AL$5-AM17</f>
        <v>0</v>
      </c>
      <c r="AM17" s="3">
        <f>COUNTIF(AN17:AT17,"×")*3</f>
        <v>21</v>
      </c>
      <c r="AN17" s="2" t="s">
        <v>115</v>
      </c>
      <c r="AO17" s="2" t="s">
        <v>115</v>
      </c>
      <c r="AP17" s="2" t="s">
        <v>115</v>
      </c>
      <c r="AQ17" s="2" t="s">
        <v>115</v>
      </c>
      <c r="AR17" s="2" t="s">
        <v>115</v>
      </c>
      <c r="AS17" s="2" t="s">
        <v>115</v>
      </c>
      <c r="AT17" s="7" t="s">
        <v>115</v>
      </c>
      <c r="AU17" s="1">
        <f t="shared" si="9"/>
        <v>47</v>
      </c>
    </row>
    <row r="18" spans="1:47" x14ac:dyDescent="0.4">
      <c r="A18" s="56">
        <v>22040</v>
      </c>
      <c r="B18" s="3" t="s">
        <v>158</v>
      </c>
      <c r="C18" s="12">
        <f>SUM(E18,U18,AC18,AL18,$D$5)</f>
        <v>70</v>
      </c>
      <c r="D18" s="17">
        <v>0</v>
      </c>
      <c r="E18" s="15">
        <f>$E$5-F18</f>
        <v>33</v>
      </c>
      <c r="F18" s="3">
        <f>COUNTIF(G18:T18,"×")*3</f>
        <v>9</v>
      </c>
      <c r="G18" s="2" t="s">
        <v>195</v>
      </c>
      <c r="H18" s="2" t="s">
        <v>195</v>
      </c>
      <c r="I18" s="2" t="s">
        <v>195</v>
      </c>
      <c r="J18" s="2" t="s">
        <v>218</v>
      </c>
      <c r="K18" s="2" t="s">
        <v>215</v>
      </c>
      <c r="L18" s="2" t="s">
        <v>199</v>
      </c>
      <c r="M18" s="2" t="s">
        <v>218</v>
      </c>
      <c r="N18" s="2" t="s">
        <v>202</v>
      </c>
      <c r="O18" s="2" t="s">
        <v>200</v>
      </c>
      <c r="P18" s="2" t="s">
        <v>212</v>
      </c>
      <c r="Q18" s="2" t="s">
        <v>218</v>
      </c>
      <c r="R18" s="2" t="s">
        <v>218</v>
      </c>
      <c r="S18" s="2" t="s">
        <v>216</v>
      </c>
      <c r="T18" s="7" t="s">
        <v>195</v>
      </c>
      <c r="U18" s="20">
        <f>$U$5-V18</f>
        <v>18</v>
      </c>
      <c r="V18" s="3">
        <f>COUNTIF(W18:AB18,"×")*3</f>
        <v>0</v>
      </c>
      <c r="W18" s="2" t="s">
        <v>246</v>
      </c>
      <c r="X18" s="2" t="s">
        <v>195</v>
      </c>
      <c r="Y18" s="2" t="s">
        <v>212</v>
      </c>
      <c r="Z18" s="2" t="s">
        <v>195</v>
      </c>
      <c r="AA18" s="2" t="s">
        <v>248</v>
      </c>
      <c r="AB18" s="7" t="s">
        <v>212</v>
      </c>
      <c r="AC18" s="20">
        <f>$AC$5-AD18</f>
        <v>14</v>
      </c>
      <c r="AD18" s="3">
        <f>COUNTIF(AE18:AK18,"×")*2</f>
        <v>0</v>
      </c>
      <c r="AE18" s="2" t="s">
        <v>267</v>
      </c>
      <c r="AF18" s="2" t="s">
        <v>266</v>
      </c>
      <c r="AG18" s="2" t="s">
        <v>266</v>
      </c>
      <c r="AH18" s="2" t="s">
        <v>266</v>
      </c>
      <c r="AI18" s="2" t="s">
        <v>265</v>
      </c>
      <c r="AJ18" s="2" t="s">
        <v>265</v>
      </c>
      <c r="AK18" s="7" t="s">
        <v>266</v>
      </c>
      <c r="AL18" s="20">
        <f>$AL$5-AM18</f>
        <v>0</v>
      </c>
      <c r="AM18" s="3">
        <f>COUNTIF(AN18:AT18,"×")*3</f>
        <v>21</v>
      </c>
      <c r="AN18" s="2" t="s">
        <v>115</v>
      </c>
      <c r="AO18" s="2" t="s">
        <v>115</v>
      </c>
      <c r="AP18" s="2" t="s">
        <v>115</v>
      </c>
      <c r="AQ18" s="2" t="s">
        <v>115</v>
      </c>
      <c r="AR18" s="2" t="s">
        <v>115</v>
      </c>
      <c r="AS18" s="2" t="s">
        <v>115</v>
      </c>
      <c r="AT18" s="7" t="s">
        <v>115</v>
      </c>
      <c r="AU18" s="1">
        <f t="shared" si="9"/>
        <v>83</v>
      </c>
    </row>
    <row r="19" spans="1:47" x14ac:dyDescent="0.4">
      <c r="A19" s="56">
        <v>22045</v>
      </c>
      <c r="B19" s="3" t="s">
        <v>159</v>
      </c>
      <c r="C19" s="12">
        <f>SUM(E19,U19,AC19,AL19,$D$5)</f>
        <v>63</v>
      </c>
      <c r="D19" s="17">
        <v>0</v>
      </c>
      <c r="E19" s="15">
        <f>$E$5-F19</f>
        <v>30</v>
      </c>
      <c r="F19" s="3">
        <f>COUNTIF(G19:T19,"×")*3</f>
        <v>12</v>
      </c>
      <c r="G19" s="2" t="s">
        <v>219</v>
      </c>
      <c r="H19" s="2" t="s">
        <v>213</v>
      </c>
      <c r="I19" s="2" t="s">
        <v>195</v>
      </c>
      <c r="J19" s="2" t="s">
        <v>219</v>
      </c>
      <c r="K19" s="2" t="s">
        <v>219</v>
      </c>
      <c r="L19" s="2" t="s">
        <v>213</v>
      </c>
      <c r="M19" s="2" t="s">
        <v>213</v>
      </c>
      <c r="N19" s="2" t="s">
        <v>200</v>
      </c>
      <c r="O19" s="2" t="s">
        <v>200</v>
      </c>
      <c r="P19" s="2" t="s">
        <v>195</v>
      </c>
      <c r="Q19" s="2" t="s">
        <v>195</v>
      </c>
      <c r="R19" s="2" t="s">
        <v>196</v>
      </c>
      <c r="S19" s="2" t="s">
        <v>220</v>
      </c>
      <c r="T19" s="7" t="s">
        <v>195</v>
      </c>
      <c r="U19" s="20">
        <f>$U$5-V19</f>
        <v>18</v>
      </c>
      <c r="V19" s="3">
        <f>COUNTIF(W19:AB19,"×")*3</f>
        <v>0</v>
      </c>
      <c r="W19" s="2" t="s">
        <v>195</v>
      </c>
      <c r="X19" s="2" t="s">
        <v>195</v>
      </c>
      <c r="Y19" s="2" t="s">
        <v>206</v>
      </c>
      <c r="Z19" s="2" t="s">
        <v>204</v>
      </c>
      <c r="AA19" s="2" t="s">
        <v>195</v>
      </c>
      <c r="AB19" s="7" t="s">
        <v>195</v>
      </c>
      <c r="AC19" s="20">
        <f>$AC$5-AD19</f>
        <v>10</v>
      </c>
      <c r="AD19" s="3">
        <f>COUNTIF(AE19:AK19,"×")*2</f>
        <v>4</v>
      </c>
      <c r="AE19" s="2" t="s">
        <v>263</v>
      </c>
      <c r="AF19" s="2" t="s">
        <v>266</v>
      </c>
      <c r="AG19" s="2" t="s">
        <v>266</v>
      </c>
      <c r="AH19" s="2" t="s">
        <v>265</v>
      </c>
      <c r="AI19" s="2" t="s">
        <v>272</v>
      </c>
      <c r="AJ19" s="2" t="s">
        <v>273</v>
      </c>
      <c r="AK19" s="7" t="s">
        <v>115</v>
      </c>
      <c r="AL19" s="20">
        <f>$AL$5-AM19</f>
        <v>0</v>
      </c>
      <c r="AM19" s="3">
        <f>COUNTIF(AN19:AT19,"×")*3</f>
        <v>21</v>
      </c>
      <c r="AN19" s="2" t="s">
        <v>115</v>
      </c>
      <c r="AO19" s="2" t="s">
        <v>115</v>
      </c>
      <c r="AP19" s="2" t="s">
        <v>115</v>
      </c>
      <c r="AQ19" s="2" t="s">
        <v>115</v>
      </c>
      <c r="AR19" s="2" t="s">
        <v>115</v>
      </c>
      <c r="AS19" s="2" t="s">
        <v>115</v>
      </c>
      <c r="AT19" s="7" t="s">
        <v>115</v>
      </c>
      <c r="AU19" s="1">
        <f t="shared" si="9"/>
        <v>79</v>
      </c>
    </row>
    <row r="20" spans="1:47" x14ac:dyDescent="0.4">
      <c r="A20" s="56">
        <v>22046</v>
      </c>
      <c r="B20" s="3" t="s">
        <v>160</v>
      </c>
      <c r="C20" s="12">
        <f>SUM(E20,U20,AC20,AL20,$D$5)</f>
        <v>65</v>
      </c>
      <c r="D20" s="17">
        <v>0</v>
      </c>
      <c r="E20" s="15">
        <f>$E$5-F20</f>
        <v>30</v>
      </c>
      <c r="F20" s="3">
        <f>COUNTIF(G20:T20,"×")*3</f>
        <v>12</v>
      </c>
      <c r="G20" s="2" t="s">
        <v>195</v>
      </c>
      <c r="H20" s="2" t="s">
        <v>212</v>
      </c>
      <c r="I20" s="2" t="s">
        <v>221</v>
      </c>
      <c r="J20" s="2" t="s">
        <v>200</v>
      </c>
      <c r="K20" s="2" t="s">
        <v>221</v>
      </c>
      <c r="L20" s="2" t="s">
        <v>205</v>
      </c>
      <c r="M20" s="2" t="s">
        <v>221</v>
      </c>
      <c r="N20" s="2" t="s">
        <v>222</v>
      </c>
      <c r="O20" s="2" t="s">
        <v>222</v>
      </c>
      <c r="P20" s="2" t="s">
        <v>195</v>
      </c>
      <c r="Q20" s="2" t="s">
        <v>195</v>
      </c>
      <c r="R20" s="2" t="s">
        <v>221</v>
      </c>
      <c r="S20" s="2" t="s">
        <v>202</v>
      </c>
      <c r="T20" s="7" t="s">
        <v>195</v>
      </c>
      <c r="U20" s="20">
        <f>$U$5-V20</f>
        <v>18</v>
      </c>
      <c r="V20" s="3">
        <f>COUNTIF(W20:AB20,"×")*3</f>
        <v>0</v>
      </c>
      <c r="W20" s="2" t="s">
        <v>246</v>
      </c>
      <c r="X20" s="2" t="s">
        <v>204</v>
      </c>
      <c r="Y20" s="2" t="s">
        <v>195</v>
      </c>
      <c r="Z20" s="2" t="s">
        <v>195</v>
      </c>
      <c r="AA20" s="2" t="s">
        <v>248</v>
      </c>
      <c r="AB20" s="7" t="s">
        <v>204</v>
      </c>
      <c r="AC20" s="20">
        <f>$AC$5-AD20</f>
        <v>12</v>
      </c>
      <c r="AD20" s="3">
        <f>COUNTIF(AE20:AK20,"×")*2</f>
        <v>2</v>
      </c>
      <c r="AE20" s="2" t="s">
        <v>266</v>
      </c>
      <c r="AF20" s="2" t="s">
        <v>266</v>
      </c>
      <c r="AG20" s="2" t="s">
        <v>267</v>
      </c>
      <c r="AH20" s="2" t="s">
        <v>266</v>
      </c>
      <c r="AI20" s="2" t="s">
        <v>115</v>
      </c>
      <c r="AJ20" s="2" t="s">
        <v>264</v>
      </c>
      <c r="AK20" s="7" t="s">
        <v>266</v>
      </c>
      <c r="AL20" s="20">
        <f>$AL$5-AM20</f>
        <v>0</v>
      </c>
      <c r="AM20" s="3">
        <f>COUNTIF(AN20:AT20,"×")*3</f>
        <v>21</v>
      </c>
      <c r="AN20" s="2" t="s">
        <v>115</v>
      </c>
      <c r="AO20" s="2" t="s">
        <v>115</v>
      </c>
      <c r="AP20" s="2" t="s">
        <v>115</v>
      </c>
      <c r="AQ20" s="2" t="s">
        <v>115</v>
      </c>
      <c r="AR20" s="2" t="s">
        <v>115</v>
      </c>
      <c r="AS20" s="2" t="s">
        <v>115</v>
      </c>
      <c r="AT20" s="7" t="s">
        <v>115</v>
      </c>
      <c r="AU20" s="1">
        <f t="shared" si="9"/>
        <v>80</v>
      </c>
    </row>
    <row r="21" spans="1:47" x14ac:dyDescent="0.4">
      <c r="A21" s="56">
        <v>22047</v>
      </c>
      <c r="B21" s="3" t="s">
        <v>161</v>
      </c>
      <c r="C21" s="12">
        <f>SUM(E21,U21,AC21,AL21,$D$5)</f>
        <v>83</v>
      </c>
      <c r="D21" s="17">
        <v>0</v>
      </c>
      <c r="E21" s="15">
        <f>$E$5-F21</f>
        <v>30</v>
      </c>
      <c r="F21" s="3">
        <f>COUNTIF(G21:T21,"×")*3</f>
        <v>12</v>
      </c>
      <c r="G21" s="2" t="s">
        <v>188</v>
      </c>
      <c r="H21" s="2" t="s">
        <v>133</v>
      </c>
      <c r="I21" s="2" t="s">
        <v>133</v>
      </c>
      <c r="J21" s="2" t="s">
        <v>133</v>
      </c>
      <c r="K21" s="2" t="s">
        <v>188</v>
      </c>
      <c r="L21" s="2" t="s">
        <v>188</v>
      </c>
      <c r="M21" s="2" t="s">
        <v>188</v>
      </c>
      <c r="N21" s="2" t="s">
        <v>188</v>
      </c>
      <c r="O21" s="2" t="s">
        <v>188</v>
      </c>
      <c r="P21" s="2" t="s">
        <v>188</v>
      </c>
      <c r="Q21" s="2" t="s">
        <v>188</v>
      </c>
      <c r="R21" s="2" t="s">
        <v>188</v>
      </c>
      <c r="S21" s="2" t="s">
        <v>133</v>
      </c>
      <c r="T21" s="7" t="s">
        <v>188</v>
      </c>
      <c r="U21" s="20">
        <f>$U$5-V21</f>
        <v>15</v>
      </c>
      <c r="V21" s="3">
        <f>COUNTIF(W21:AB21,"×")*3</f>
        <v>3</v>
      </c>
      <c r="W21" s="2" t="s">
        <v>290</v>
      </c>
      <c r="X21" s="2" t="s">
        <v>290</v>
      </c>
      <c r="Y21" s="2" t="s">
        <v>290</v>
      </c>
      <c r="Z21" s="2" t="s">
        <v>290</v>
      </c>
      <c r="AA21" s="2" t="s">
        <v>290</v>
      </c>
      <c r="AB21" s="7" t="s">
        <v>291</v>
      </c>
      <c r="AC21" s="20">
        <f>$AC$5-AD21</f>
        <v>12</v>
      </c>
      <c r="AD21" s="3">
        <f>COUNTIF(AE21:AK21,"×")*2</f>
        <v>2</v>
      </c>
      <c r="AE21" s="2" t="s">
        <v>290</v>
      </c>
      <c r="AF21" s="2" t="s">
        <v>290</v>
      </c>
      <c r="AG21" s="2" t="s">
        <v>290</v>
      </c>
      <c r="AH21" s="2" t="s">
        <v>290</v>
      </c>
      <c r="AI21" s="2" t="s">
        <v>290</v>
      </c>
      <c r="AJ21" s="2" t="s">
        <v>291</v>
      </c>
      <c r="AK21" s="7" t="s">
        <v>290</v>
      </c>
      <c r="AL21" s="20">
        <f>$AL$5-AM21</f>
        <v>21</v>
      </c>
      <c r="AM21" s="3">
        <f>COUNTIF(AN21:AT21,"×")*3</f>
        <v>0</v>
      </c>
      <c r="AN21" s="2" t="s">
        <v>290</v>
      </c>
      <c r="AO21" s="2" t="s">
        <v>290</v>
      </c>
      <c r="AP21" s="2" t="s">
        <v>290</v>
      </c>
      <c r="AQ21" s="2" t="s">
        <v>290</v>
      </c>
      <c r="AR21" s="2" t="s">
        <v>290</v>
      </c>
      <c r="AS21" s="2" t="s">
        <v>290</v>
      </c>
      <c r="AT21" s="7" t="s">
        <v>290</v>
      </c>
      <c r="AU21" s="1">
        <f t="shared" si="9"/>
        <v>91</v>
      </c>
    </row>
    <row r="22" spans="1:47" x14ac:dyDescent="0.4">
      <c r="A22" s="56">
        <v>22048</v>
      </c>
      <c r="B22" s="3" t="s">
        <v>162</v>
      </c>
      <c r="C22" s="12">
        <f>SUM(E22,U22,AC22,AL22,$D$5)</f>
        <v>57</v>
      </c>
      <c r="D22" s="17">
        <v>0</v>
      </c>
      <c r="E22" s="15">
        <f>$E$5-F22</f>
        <v>27</v>
      </c>
      <c r="F22" s="3">
        <f>COUNTIF(G22:T22,"×")*3</f>
        <v>15</v>
      </c>
      <c r="G22" s="2" t="s">
        <v>195</v>
      </c>
      <c r="H22" s="2" t="s">
        <v>199</v>
      </c>
      <c r="I22" s="2" t="s">
        <v>223</v>
      </c>
      <c r="J22" s="2" t="s">
        <v>195</v>
      </c>
      <c r="K22" s="2" t="s">
        <v>224</v>
      </c>
      <c r="L22" s="2" t="s">
        <v>208</v>
      </c>
      <c r="M22" s="2" t="s">
        <v>208</v>
      </c>
      <c r="N22" s="2" t="s">
        <v>202</v>
      </c>
      <c r="O22" s="2" t="s">
        <v>207</v>
      </c>
      <c r="P22" s="2" t="s">
        <v>223</v>
      </c>
      <c r="Q22" s="2" t="s">
        <v>195</v>
      </c>
      <c r="R22" s="2" t="s">
        <v>195</v>
      </c>
      <c r="S22" s="2" t="s">
        <v>209</v>
      </c>
      <c r="T22" s="7" t="s">
        <v>224</v>
      </c>
      <c r="U22" s="20">
        <f>$U$5-V22</f>
        <v>15</v>
      </c>
      <c r="V22" s="3">
        <f>COUNTIF(W22:AB22,"×")*3</f>
        <v>3</v>
      </c>
      <c r="W22" s="2" t="s">
        <v>196</v>
      </c>
      <c r="X22" s="2" t="s">
        <v>195</v>
      </c>
      <c r="Y22" s="2" t="s">
        <v>195</v>
      </c>
      <c r="Z22" s="2" t="s">
        <v>195</v>
      </c>
      <c r="AA22" s="2" t="s">
        <v>195</v>
      </c>
      <c r="AB22" s="7" t="s">
        <v>195</v>
      </c>
      <c r="AC22" s="20">
        <f>$AC$5-AD22</f>
        <v>10</v>
      </c>
      <c r="AD22" s="3">
        <f>COUNTIF(AE22:AK22,"×")*2</f>
        <v>4</v>
      </c>
      <c r="AE22" s="2" t="s">
        <v>266</v>
      </c>
      <c r="AF22" s="2" t="s">
        <v>266</v>
      </c>
      <c r="AG22" s="2" t="s">
        <v>115</v>
      </c>
      <c r="AH22" s="2" t="s">
        <v>263</v>
      </c>
      <c r="AI22" s="2" t="s">
        <v>266</v>
      </c>
      <c r="AJ22" s="2" t="s">
        <v>267</v>
      </c>
      <c r="AK22" s="7" t="s">
        <v>271</v>
      </c>
      <c r="AL22" s="20">
        <f>$AL$5-AM22</f>
        <v>0</v>
      </c>
      <c r="AM22" s="3">
        <f>COUNTIF(AN22:AT22,"×")*3</f>
        <v>21</v>
      </c>
      <c r="AN22" s="2" t="s">
        <v>115</v>
      </c>
      <c r="AO22" s="2" t="s">
        <v>115</v>
      </c>
      <c r="AP22" s="2" t="s">
        <v>115</v>
      </c>
      <c r="AQ22" s="2" t="s">
        <v>115</v>
      </c>
      <c r="AR22" s="2" t="s">
        <v>115</v>
      </c>
      <c r="AS22" s="2" t="s">
        <v>115</v>
      </c>
      <c r="AT22" s="7" t="s">
        <v>115</v>
      </c>
      <c r="AU22" s="1">
        <f t="shared" si="9"/>
        <v>75</v>
      </c>
    </row>
    <row r="23" spans="1:47" x14ac:dyDescent="0.4">
      <c r="A23" s="56">
        <v>22049</v>
      </c>
      <c r="B23" s="3" t="s">
        <v>163</v>
      </c>
      <c r="C23" s="12">
        <f>SUM(E23,U23,AC23,AL23,$D$5)</f>
        <v>92</v>
      </c>
      <c r="D23" s="17">
        <v>0</v>
      </c>
      <c r="E23" s="15">
        <f>$E$5-F23</f>
        <v>39</v>
      </c>
      <c r="F23" s="3">
        <f>COUNTIF(G23:T23,"×")*3</f>
        <v>3</v>
      </c>
      <c r="G23" s="2" t="s">
        <v>195</v>
      </c>
      <c r="H23" s="2" t="s">
        <v>195</v>
      </c>
      <c r="I23" s="2" t="s">
        <v>212</v>
      </c>
      <c r="J23" s="2" t="s">
        <v>212</v>
      </c>
      <c r="K23" s="2" t="s">
        <v>199</v>
      </c>
      <c r="L23" s="2" t="s">
        <v>206</v>
      </c>
      <c r="M23" s="2" t="s">
        <v>204</v>
      </c>
      <c r="N23" s="2" t="s">
        <v>199</v>
      </c>
      <c r="O23" s="2" t="s">
        <v>225</v>
      </c>
      <c r="P23" s="2" t="s">
        <v>212</v>
      </c>
      <c r="Q23" s="2" t="s">
        <v>195</v>
      </c>
      <c r="R23" s="2" t="s">
        <v>206</v>
      </c>
      <c r="S23" s="2" t="s">
        <v>203</v>
      </c>
      <c r="T23" s="7" t="s">
        <v>206</v>
      </c>
      <c r="U23" s="20">
        <f>$U$5-V23</f>
        <v>18</v>
      </c>
      <c r="V23" s="3">
        <f>COUNTIF(W23:AB23,"×")*3</f>
        <v>0</v>
      </c>
      <c r="W23" s="2" t="s">
        <v>250</v>
      </c>
      <c r="X23" s="2" t="s">
        <v>195</v>
      </c>
      <c r="Y23" s="2" t="s">
        <v>247</v>
      </c>
      <c r="Z23" s="2" t="s">
        <v>247</v>
      </c>
      <c r="AA23" s="2" t="s">
        <v>208</v>
      </c>
      <c r="AB23" s="7" t="s">
        <v>212</v>
      </c>
      <c r="AC23" s="20">
        <f>$AC$5-AD23</f>
        <v>12</v>
      </c>
      <c r="AD23" s="3">
        <f>COUNTIF(AE23:AK23,"×")*2</f>
        <v>2</v>
      </c>
      <c r="AE23" s="2" t="s">
        <v>266</v>
      </c>
      <c r="AF23" s="2" t="s">
        <v>267</v>
      </c>
      <c r="AG23" s="2" t="s">
        <v>266</v>
      </c>
      <c r="AH23" s="2" t="s">
        <v>264</v>
      </c>
      <c r="AI23" s="2" t="s">
        <v>264</v>
      </c>
      <c r="AJ23" s="2" t="s">
        <v>266</v>
      </c>
      <c r="AK23" s="7" t="s">
        <v>115</v>
      </c>
      <c r="AL23" s="20">
        <f>$AL$5-AM23</f>
        <v>18</v>
      </c>
      <c r="AM23" s="3">
        <f>COUNTIF(AN23:AT23,"×")*3</f>
        <v>3</v>
      </c>
      <c r="AN23" s="2" t="s">
        <v>115</v>
      </c>
      <c r="AO23" s="2" t="s">
        <v>190</v>
      </c>
      <c r="AP23" s="2" t="s">
        <v>190</v>
      </c>
      <c r="AQ23" s="2" t="s">
        <v>190</v>
      </c>
      <c r="AR23" s="2" t="s">
        <v>190</v>
      </c>
      <c r="AS23" s="2" t="s">
        <v>190</v>
      </c>
      <c r="AT23" s="7" t="s">
        <v>190</v>
      </c>
      <c r="AU23" s="1">
        <f t="shared" si="9"/>
        <v>95</v>
      </c>
    </row>
    <row r="24" spans="1:47" x14ac:dyDescent="0.4">
      <c r="A24" s="56">
        <v>22050</v>
      </c>
      <c r="B24" s="3" t="s">
        <v>164</v>
      </c>
      <c r="C24" s="12">
        <f>SUM(E24,U24,AC24,AL24,$D$5)</f>
        <v>53</v>
      </c>
      <c r="D24" s="17">
        <v>0</v>
      </c>
      <c r="E24" s="15">
        <f>$E$5-F24</f>
        <v>30</v>
      </c>
      <c r="F24" s="3">
        <f>COUNTIF(G24:T24,"×")*3</f>
        <v>12</v>
      </c>
      <c r="G24" s="2" t="s">
        <v>204</v>
      </c>
      <c r="H24" s="2" t="s">
        <v>199</v>
      </c>
      <c r="I24" s="2" t="s">
        <v>195</v>
      </c>
      <c r="J24" s="2" t="s">
        <v>198</v>
      </c>
      <c r="K24" s="2" t="s">
        <v>226</v>
      </c>
      <c r="L24" s="2" t="s">
        <v>204</v>
      </c>
      <c r="M24" s="2" t="s">
        <v>198</v>
      </c>
      <c r="N24" s="2" t="s">
        <v>199</v>
      </c>
      <c r="O24" s="2" t="s">
        <v>226</v>
      </c>
      <c r="P24" s="2" t="s">
        <v>207</v>
      </c>
      <c r="Q24" s="2" t="s">
        <v>197</v>
      </c>
      <c r="R24" s="2" t="s">
        <v>197</v>
      </c>
      <c r="S24" s="2" t="s">
        <v>200</v>
      </c>
      <c r="T24" s="7" t="s">
        <v>198</v>
      </c>
      <c r="U24" s="20">
        <f>$U$5-V24</f>
        <v>12</v>
      </c>
      <c r="V24" s="3">
        <f>COUNTIF(W24:AB24,"×")*3</f>
        <v>6</v>
      </c>
      <c r="W24" s="2" t="s">
        <v>195</v>
      </c>
      <c r="X24" s="2" t="s">
        <v>195</v>
      </c>
      <c r="Y24" s="2" t="s">
        <v>195</v>
      </c>
      <c r="Z24" s="2" t="s">
        <v>200</v>
      </c>
      <c r="AA24" s="2" t="s">
        <v>208</v>
      </c>
      <c r="AB24" s="7" t="s">
        <v>243</v>
      </c>
      <c r="AC24" s="20">
        <f>$AC$5-AD24</f>
        <v>6</v>
      </c>
      <c r="AD24" s="3">
        <f>COUNTIF(AE24:AK24,"×")*2</f>
        <v>8</v>
      </c>
      <c r="AE24" s="2" t="s">
        <v>273</v>
      </c>
      <c r="AF24" s="2" t="s">
        <v>266</v>
      </c>
      <c r="AG24" s="2" t="s">
        <v>275</v>
      </c>
      <c r="AH24" s="2" t="s">
        <v>271</v>
      </c>
      <c r="AI24" s="2" t="s">
        <v>271</v>
      </c>
      <c r="AJ24" s="2" t="s">
        <v>115</v>
      </c>
      <c r="AK24" s="7" t="s">
        <v>266</v>
      </c>
      <c r="AL24" s="20">
        <f>$AL$5-AM24</f>
        <v>0</v>
      </c>
      <c r="AM24" s="3">
        <f>COUNTIF(AN24:AT24,"×")*3</f>
        <v>21</v>
      </c>
      <c r="AN24" s="2" t="s">
        <v>115</v>
      </c>
      <c r="AO24" s="2" t="s">
        <v>115</v>
      </c>
      <c r="AP24" s="2" t="s">
        <v>115</v>
      </c>
      <c r="AQ24" s="2" t="s">
        <v>115</v>
      </c>
      <c r="AR24" s="2" t="s">
        <v>115</v>
      </c>
      <c r="AS24" s="2" t="s">
        <v>115</v>
      </c>
      <c r="AT24" s="7" t="s">
        <v>115</v>
      </c>
      <c r="AU24" s="1">
        <f t="shared" si="9"/>
        <v>72</v>
      </c>
    </row>
    <row r="25" spans="1:47" x14ac:dyDescent="0.4">
      <c r="A25" s="56">
        <v>22051</v>
      </c>
      <c r="B25" s="3" t="s">
        <v>165</v>
      </c>
      <c r="C25" s="12">
        <f>SUM(E25,U25,AC25,AL25,$D$5)</f>
        <v>59</v>
      </c>
      <c r="D25" s="17">
        <v>0</v>
      </c>
      <c r="E25" s="15">
        <f>$E$5-F25</f>
        <v>24</v>
      </c>
      <c r="F25" s="3">
        <f>COUNTIF(G25:T25,"×")*3</f>
        <v>18</v>
      </c>
      <c r="G25" s="2" t="s">
        <v>188</v>
      </c>
      <c r="H25" s="2" t="s">
        <v>188</v>
      </c>
      <c r="I25" s="2" t="s">
        <v>188</v>
      </c>
      <c r="J25" s="2" t="s">
        <v>188</v>
      </c>
      <c r="K25" s="2" t="s">
        <v>133</v>
      </c>
      <c r="L25" s="2" t="s">
        <v>188</v>
      </c>
      <c r="M25" s="2" t="s">
        <v>133</v>
      </c>
      <c r="N25" s="2" t="s">
        <v>133</v>
      </c>
      <c r="O25" s="2" t="s">
        <v>133</v>
      </c>
      <c r="P25" s="2" t="s">
        <v>188</v>
      </c>
      <c r="Q25" s="2" t="s">
        <v>188</v>
      </c>
      <c r="R25" s="2" t="s">
        <v>188</v>
      </c>
      <c r="S25" s="2" t="s">
        <v>133</v>
      </c>
      <c r="T25" s="7" t="s">
        <v>133</v>
      </c>
      <c r="U25" s="20">
        <f>$U$5-V25</f>
        <v>18</v>
      </c>
      <c r="V25" s="3">
        <f>COUNTIF(W25:AB25,"×")*3</f>
        <v>0</v>
      </c>
      <c r="W25" s="2" t="s">
        <v>248</v>
      </c>
      <c r="X25" s="2" t="s">
        <v>246</v>
      </c>
      <c r="Y25" s="2" t="s">
        <v>246</v>
      </c>
      <c r="Z25" s="2" t="s">
        <v>246</v>
      </c>
      <c r="AA25" s="2" t="s">
        <v>246</v>
      </c>
      <c r="AB25" s="7" t="s">
        <v>246</v>
      </c>
      <c r="AC25" s="20">
        <f>$AC$5-AD25</f>
        <v>12</v>
      </c>
      <c r="AD25" s="3">
        <f>COUNTIF(AE25:AK25,"×")*2</f>
        <v>2</v>
      </c>
      <c r="AE25" s="2" t="s">
        <v>263</v>
      </c>
      <c r="AF25" s="2" t="s">
        <v>265</v>
      </c>
      <c r="AG25" s="2" t="s">
        <v>115</v>
      </c>
      <c r="AH25" s="2" t="s">
        <v>266</v>
      </c>
      <c r="AI25" s="2" t="s">
        <v>263</v>
      </c>
      <c r="AJ25" s="2" t="s">
        <v>266</v>
      </c>
      <c r="AK25" s="7" t="s">
        <v>266</v>
      </c>
      <c r="AL25" s="20">
        <f>$AL$5-AM25</f>
        <v>0</v>
      </c>
      <c r="AM25" s="3">
        <f>COUNTIF(AN25:AT25,"×")*3</f>
        <v>21</v>
      </c>
      <c r="AN25" s="2" t="s">
        <v>115</v>
      </c>
      <c r="AO25" s="2" t="s">
        <v>115</v>
      </c>
      <c r="AP25" s="2" t="s">
        <v>115</v>
      </c>
      <c r="AQ25" s="2" t="s">
        <v>115</v>
      </c>
      <c r="AR25" s="2" t="s">
        <v>115</v>
      </c>
      <c r="AS25" s="2" t="s">
        <v>115</v>
      </c>
      <c r="AT25" s="7" t="s">
        <v>115</v>
      </c>
      <c r="AU25" s="1">
        <f t="shared" si="9"/>
        <v>76</v>
      </c>
    </row>
    <row r="26" spans="1:47" x14ac:dyDescent="0.4">
      <c r="A26" s="56">
        <v>22052</v>
      </c>
      <c r="B26" s="3" t="s">
        <v>166</v>
      </c>
      <c r="C26" s="12">
        <f>SUM(E26,U26,AC26,AL26,$D$5)</f>
        <v>41</v>
      </c>
      <c r="D26" s="17">
        <v>0</v>
      </c>
      <c r="E26" s="15">
        <f>$E$5-F26</f>
        <v>36</v>
      </c>
      <c r="F26" s="3">
        <f>COUNTIF(G26:T26,"×")*3</f>
        <v>6</v>
      </c>
      <c r="G26" s="2" t="s">
        <v>227</v>
      </c>
      <c r="H26" s="2" t="s">
        <v>195</v>
      </c>
      <c r="I26" s="2" t="s">
        <v>228</v>
      </c>
      <c r="J26" s="2" t="s">
        <v>195</v>
      </c>
      <c r="K26" s="2" t="s">
        <v>195</v>
      </c>
      <c r="L26" s="2" t="s">
        <v>199</v>
      </c>
      <c r="M26" s="2" t="s">
        <v>228</v>
      </c>
      <c r="N26" s="2" t="s">
        <v>195</v>
      </c>
      <c r="O26" s="2" t="s">
        <v>228</v>
      </c>
      <c r="P26" s="2" t="s">
        <v>195</v>
      </c>
      <c r="Q26" s="2" t="s">
        <v>212</v>
      </c>
      <c r="R26" s="2" t="s">
        <v>195</v>
      </c>
      <c r="S26" s="2" t="s">
        <v>202</v>
      </c>
      <c r="T26" s="7" t="s">
        <v>228</v>
      </c>
      <c r="U26" s="20">
        <f>$U$5-V26</f>
        <v>0</v>
      </c>
      <c r="V26" s="3">
        <f>COUNTIF(W26:AB26,"×")*3</f>
        <v>18</v>
      </c>
      <c r="W26" s="2" t="s">
        <v>200</v>
      </c>
      <c r="X26" s="2" t="s">
        <v>244</v>
      </c>
      <c r="Y26" s="2" t="s">
        <v>200</v>
      </c>
      <c r="Z26" s="2" t="s">
        <v>243</v>
      </c>
      <c r="AA26" s="2" t="s">
        <v>200</v>
      </c>
      <c r="AB26" s="7" t="s">
        <v>202</v>
      </c>
      <c r="AC26" s="20">
        <f>$AC$5-AD26</f>
        <v>0</v>
      </c>
      <c r="AD26" s="3">
        <f>COUNTIF(AE26:AK26,"×")*2</f>
        <v>14</v>
      </c>
      <c r="AE26" s="2" t="s">
        <v>115</v>
      </c>
      <c r="AF26" s="2" t="s">
        <v>271</v>
      </c>
      <c r="AG26" s="2" t="s">
        <v>115</v>
      </c>
      <c r="AH26" s="2" t="s">
        <v>115</v>
      </c>
      <c r="AI26" s="2" t="s">
        <v>115</v>
      </c>
      <c r="AJ26" s="2" t="s">
        <v>115</v>
      </c>
      <c r="AK26" s="7" t="s">
        <v>115</v>
      </c>
      <c r="AL26" s="20">
        <f>$AL$5-AM26</f>
        <v>0</v>
      </c>
      <c r="AM26" s="3">
        <f>COUNTIF(AN26:AT26,"×")*3</f>
        <v>21</v>
      </c>
      <c r="AN26" s="2" t="s">
        <v>115</v>
      </c>
      <c r="AO26" s="2" t="s">
        <v>115</v>
      </c>
      <c r="AP26" s="2" t="s">
        <v>115</v>
      </c>
      <c r="AQ26" s="2" t="s">
        <v>115</v>
      </c>
      <c r="AR26" s="2" t="s">
        <v>115</v>
      </c>
      <c r="AS26" s="2" t="s">
        <v>115</v>
      </c>
      <c r="AT26" s="7" t="s">
        <v>115</v>
      </c>
      <c r="AU26" s="1">
        <f t="shared" si="9"/>
        <v>64</v>
      </c>
    </row>
    <row r="27" spans="1:47" x14ac:dyDescent="0.4">
      <c r="A27" s="56">
        <v>22053</v>
      </c>
      <c r="B27" s="3" t="s">
        <v>167</v>
      </c>
      <c r="C27" s="12">
        <f>SUM(E27,U27,AC27,AL27,$D$5)</f>
        <v>94</v>
      </c>
      <c r="D27" s="17">
        <v>0</v>
      </c>
      <c r="E27" s="15">
        <f>$E$5-F27</f>
        <v>39</v>
      </c>
      <c r="F27" s="3">
        <f>COUNTIF(G27:T27,"×")*3</f>
        <v>3</v>
      </c>
      <c r="G27" s="2" t="s">
        <v>221</v>
      </c>
      <c r="H27" s="2" t="s">
        <v>229</v>
      </c>
      <c r="I27" s="2" t="s">
        <v>195</v>
      </c>
      <c r="J27" s="2" t="s">
        <v>221</v>
      </c>
      <c r="K27" s="2" t="s">
        <v>195</v>
      </c>
      <c r="L27" s="2" t="s">
        <v>230</v>
      </c>
      <c r="M27" s="2" t="s">
        <v>230</v>
      </c>
      <c r="N27" s="2" t="s">
        <v>221</v>
      </c>
      <c r="O27" s="2" t="s">
        <v>230</v>
      </c>
      <c r="P27" s="2" t="s">
        <v>221</v>
      </c>
      <c r="Q27" s="2" t="s">
        <v>221</v>
      </c>
      <c r="R27" s="2" t="s">
        <v>231</v>
      </c>
      <c r="S27" s="2" t="s">
        <v>222</v>
      </c>
      <c r="T27" s="7" t="s">
        <v>195</v>
      </c>
      <c r="U27" s="20">
        <f>$U$5-V27</f>
        <v>18</v>
      </c>
      <c r="V27" s="3">
        <f>COUNTIF(W27:AB27,"×")*3</f>
        <v>0</v>
      </c>
      <c r="W27" s="2" t="s">
        <v>204</v>
      </c>
      <c r="X27" s="2" t="s">
        <v>246</v>
      </c>
      <c r="Y27" s="2" t="s">
        <v>204</v>
      </c>
      <c r="Z27" s="2" t="s">
        <v>204</v>
      </c>
      <c r="AA27" s="2" t="s">
        <v>204</v>
      </c>
      <c r="AB27" s="7" t="s">
        <v>204</v>
      </c>
      <c r="AC27" s="20">
        <f>$AC$5-AD27</f>
        <v>14</v>
      </c>
      <c r="AD27" s="3">
        <f>COUNTIF(AE27:AK27,"×")*2</f>
        <v>0</v>
      </c>
      <c r="AE27" s="2" t="s">
        <v>267</v>
      </c>
      <c r="AF27" s="2" t="s">
        <v>267</v>
      </c>
      <c r="AG27" s="2" t="s">
        <v>265</v>
      </c>
      <c r="AH27" s="2" t="s">
        <v>266</v>
      </c>
      <c r="AI27" s="2" t="s">
        <v>265</v>
      </c>
      <c r="AJ27" s="2" t="s">
        <v>265</v>
      </c>
      <c r="AK27" s="7" t="s">
        <v>267</v>
      </c>
      <c r="AL27" s="20">
        <f>$AL$5-AM27</f>
        <v>18</v>
      </c>
      <c r="AM27" s="3">
        <f>COUNTIF(AN27:AT27,"×")*3</f>
        <v>3</v>
      </c>
      <c r="AN27" s="2" t="s">
        <v>115</v>
      </c>
      <c r="AO27" s="2" t="s">
        <v>190</v>
      </c>
      <c r="AP27" s="2" t="s">
        <v>190</v>
      </c>
      <c r="AQ27" s="2" t="s">
        <v>190</v>
      </c>
      <c r="AR27" s="2" t="s">
        <v>190</v>
      </c>
      <c r="AS27" s="2" t="s">
        <v>190</v>
      </c>
      <c r="AT27" s="7" t="s">
        <v>190</v>
      </c>
      <c r="AU27" s="1">
        <f t="shared" si="9"/>
        <v>96</v>
      </c>
    </row>
    <row r="28" spans="1:47" x14ac:dyDescent="0.4">
      <c r="A28" s="56">
        <v>22054</v>
      </c>
      <c r="B28" s="3" t="s">
        <v>168</v>
      </c>
      <c r="C28" s="12">
        <f>SUM(E28,U28,AC28,AL28,$D$5)</f>
        <v>73</v>
      </c>
      <c r="D28" s="17">
        <v>0</v>
      </c>
      <c r="E28" s="15">
        <f>$E$5-F28</f>
        <v>36</v>
      </c>
      <c r="F28" s="3">
        <f>COUNTIF(G28:T28,"×")*3</f>
        <v>6</v>
      </c>
      <c r="G28" s="2" t="s">
        <v>188</v>
      </c>
      <c r="H28" s="2" t="s">
        <v>188</v>
      </c>
      <c r="I28" s="2" t="s">
        <v>188</v>
      </c>
      <c r="J28" s="2" t="s">
        <v>133</v>
      </c>
      <c r="K28" s="2" t="s">
        <v>188</v>
      </c>
      <c r="L28" s="2" t="s">
        <v>188</v>
      </c>
      <c r="M28" s="2" t="s">
        <v>188</v>
      </c>
      <c r="N28" s="2" t="s">
        <v>188</v>
      </c>
      <c r="O28" s="2" t="s">
        <v>188</v>
      </c>
      <c r="P28" s="2" t="s">
        <v>188</v>
      </c>
      <c r="Q28" s="2" t="s">
        <v>188</v>
      </c>
      <c r="R28" s="2" t="s">
        <v>188</v>
      </c>
      <c r="S28" s="2" t="s">
        <v>133</v>
      </c>
      <c r="T28" s="7" t="s">
        <v>188</v>
      </c>
      <c r="U28" s="20">
        <f>$U$5-V28</f>
        <v>18</v>
      </c>
      <c r="V28" s="3">
        <f>COUNTIF(W28:AB28,"×")*3</f>
        <v>0</v>
      </c>
      <c r="W28" s="2" t="s">
        <v>195</v>
      </c>
      <c r="X28" s="2" t="s">
        <v>195</v>
      </c>
      <c r="Y28" s="2" t="s">
        <v>195</v>
      </c>
      <c r="Z28" s="2" t="s">
        <v>195</v>
      </c>
      <c r="AA28" s="2" t="s">
        <v>195</v>
      </c>
      <c r="AB28" s="7" t="s">
        <v>195</v>
      </c>
      <c r="AC28" s="20">
        <f>$AC$5-AD28</f>
        <v>14</v>
      </c>
      <c r="AD28" s="3">
        <f>COUNTIF(AE28:AK28,"×")*2</f>
        <v>0</v>
      </c>
      <c r="AE28" s="2" t="s">
        <v>266</v>
      </c>
      <c r="AF28" s="2" t="s">
        <v>263</v>
      </c>
      <c r="AG28" s="2" t="s">
        <v>263</v>
      </c>
      <c r="AH28" s="2" t="s">
        <v>263</v>
      </c>
      <c r="AI28" s="2" t="s">
        <v>266</v>
      </c>
      <c r="AJ28" s="2" t="s">
        <v>265</v>
      </c>
      <c r="AK28" s="7" t="s">
        <v>266</v>
      </c>
      <c r="AL28" s="20">
        <f>$AL$5-AM28</f>
        <v>0</v>
      </c>
      <c r="AM28" s="3">
        <f>COUNTIF(AN28:AT28,"×")*3</f>
        <v>21</v>
      </c>
      <c r="AN28" s="2" t="s">
        <v>115</v>
      </c>
      <c r="AO28" s="2" t="s">
        <v>115</v>
      </c>
      <c r="AP28" s="2" t="s">
        <v>115</v>
      </c>
      <c r="AQ28" s="2" t="s">
        <v>115</v>
      </c>
      <c r="AR28" s="2" t="s">
        <v>115</v>
      </c>
      <c r="AS28" s="2" t="s">
        <v>115</v>
      </c>
      <c r="AT28" s="7" t="s">
        <v>115</v>
      </c>
      <c r="AU28" s="1">
        <f t="shared" si="9"/>
        <v>85</v>
      </c>
    </row>
    <row r="29" spans="1:47" x14ac:dyDescent="0.4">
      <c r="A29" s="56">
        <v>22055</v>
      </c>
      <c r="B29" s="3" t="s">
        <v>169</v>
      </c>
      <c r="C29" s="12">
        <f>SUM(E29,U29,AC29,AL29,$D$5)</f>
        <v>56</v>
      </c>
      <c r="D29" s="17">
        <v>0</v>
      </c>
      <c r="E29" s="15">
        <f>$E$5-F29</f>
        <v>27</v>
      </c>
      <c r="F29" s="3">
        <f>COUNTIF(G29:T29,"×")*3</f>
        <v>15</v>
      </c>
      <c r="G29" s="2" t="s">
        <v>204</v>
      </c>
      <c r="H29" s="2" t="s">
        <v>206</v>
      </c>
      <c r="I29" s="2" t="s">
        <v>195</v>
      </c>
      <c r="J29" s="2" t="s">
        <v>212</v>
      </c>
      <c r="K29" s="2" t="s">
        <v>207</v>
      </c>
      <c r="L29" s="2" t="s">
        <v>206</v>
      </c>
      <c r="M29" s="2" t="s">
        <v>203</v>
      </c>
      <c r="N29" s="2" t="s">
        <v>203</v>
      </c>
      <c r="O29" s="2" t="s">
        <v>211</v>
      </c>
      <c r="P29" s="2" t="s">
        <v>204</v>
      </c>
      <c r="Q29" s="2" t="s">
        <v>206</v>
      </c>
      <c r="R29" s="2" t="s">
        <v>206</v>
      </c>
      <c r="S29" s="2" t="s">
        <v>200</v>
      </c>
      <c r="T29" s="7" t="s">
        <v>195</v>
      </c>
      <c r="U29" s="20">
        <f>$U$5-V29</f>
        <v>18</v>
      </c>
      <c r="V29" s="3">
        <f>COUNTIF(W29:AB29,"×")*3</f>
        <v>0</v>
      </c>
      <c r="W29" s="2" t="s">
        <v>248</v>
      </c>
      <c r="X29" s="2" t="s">
        <v>195</v>
      </c>
      <c r="Y29" s="2" t="s">
        <v>212</v>
      </c>
      <c r="Z29" s="2" t="s">
        <v>212</v>
      </c>
      <c r="AA29" s="2" t="s">
        <v>195</v>
      </c>
      <c r="AB29" s="7" t="s">
        <v>195</v>
      </c>
      <c r="AC29" s="20">
        <f>$AC$5-AD29</f>
        <v>6</v>
      </c>
      <c r="AD29" s="3">
        <f>COUNTIF(AE29:AK29,"×")*2</f>
        <v>8</v>
      </c>
      <c r="AE29" s="2" t="s">
        <v>267</v>
      </c>
      <c r="AF29" s="2" t="s">
        <v>115</v>
      </c>
      <c r="AG29" s="2" t="s">
        <v>274</v>
      </c>
      <c r="AH29" s="2" t="s">
        <v>274</v>
      </c>
      <c r="AI29" s="2" t="s">
        <v>115</v>
      </c>
      <c r="AJ29" s="2" t="s">
        <v>266</v>
      </c>
      <c r="AK29" s="7" t="s">
        <v>266</v>
      </c>
      <c r="AL29" s="20">
        <f>$AL$5-AM29</f>
        <v>0</v>
      </c>
      <c r="AM29" s="3">
        <f>COUNTIF(AN29:AT29,"×")*3</f>
        <v>21</v>
      </c>
      <c r="AN29" s="2" t="s">
        <v>115</v>
      </c>
      <c r="AO29" s="2" t="s">
        <v>115</v>
      </c>
      <c r="AP29" s="2" t="s">
        <v>115</v>
      </c>
      <c r="AQ29" s="2" t="s">
        <v>115</v>
      </c>
      <c r="AR29" s="2" t="s">
        <v>115</v>
      </c>
      <c r="AS29" s="2" t="s">
        <v>115</v>
      </c>
      <c r="AT29" s="7" t="s">
        <v>115</v>
      </c>
      <c r="AU29" s="1">
        <f t="shared" si="9"/>
        <v>74</v>
      </c>
    </row>
    <row r="30" spans="1:47" x14ac:dyDescent="0.4">
      <c r="A30" s="56">
        <v>22057</v>
      </c>
      <c r="B30" s="3" t="s">
        <v>170</v>
      </c>
      <c r="C30" s="12">
        <f>SUM(E30,U30,AC30,AL30,$D$5)</f>
        <v>74</v>
      </c>
      <c r="D30" s="17">
        <v>0</v>
      </c>
      <c r="E30" s="15">
        <f>$E$5-F30</f>
        <v>39</v>
      </c>
      <c r="F30" s="3">
        <f>COUNTIF(G30:T30,"×")*3</f>
        <v>3</v>
      </c>
      <c r="G30" s="2" t="s">
        <v>188</v>
      </c>
      <c r="H30" s="2" t="s">
        <v>188</v>
      </c>
      <c r="I30" s="2" t="s">
        <v>188</v>
      </c>
      <c r="J30" s="2" t="s">
        <v>188</v>
      </c>
      <c r="K30" s="2" t="s">
        <v>188</v>
      </c>
      <c r="L30" s="2" t="s">
        <v>188</v>
      </c>
      <c r="M30" s="2" t="s">
        <v>188</v>
      </c>
      <c r="N30" s="2" t="s">
        <v>188</v>
      </c>
      <c r="O30" s="2" t="s">
        <v>188</v>
      </c>
      <c r="P30" s="2" t="s">
        <v>188</v>
      </c>
      <c r="Q30" s="2" t="s">
        <v>188</v>
      </c>
      <c r="R30" s="2" t="s">
        <v>188</v>
      </c>
      <c r="S30" s="2" t="s">
        <v>133</v>
      </c>
      <c r="T30" s="7" t="s">
        <v>188</v>
      </c>
      <c r="U30" s="20">
        <f>$U$5-V30</f>
        <v>18</v>
      </c>
      <c r="V30" s="3">
        <f>COUNTIF(W30:AB30,"×")*3</f>
        <v>0</v>
      </c>
      <c r="W30" s="2" t="s">
        <v>195</v>
      </c>
      <c r="X30" s="2" t="s">
        <v>212</v>
      </c>
      <c r="Y30" s="2" t="s">
        <v>246</v>
      </c>
      <c r="Z30" s="2" t="s">
        <v>212</v>
      </c>
      <c r="AA30" s="2" t="s">
        <v>251</v>
      </c>
      <c r="AB30" s="7" t="s">
        <v>251</v>
      </c>
      <c r="AC30" s="20">
        <f>$AC$5-AD30</f>
        <v>12</v>
      </c>
      <c r="AD30" s="3">
        <f>COUNTIF(AE30:AK30,"×")*2</f>
        <v>2</v>
      </c>
      <c r="AE30" s="2" t="s">
        <v>266</v>
      </c>
      <c r="AF30" s="2" t="s">
        <v>266</v>
      </c>
      <c r="AG30" s="2" t="s">
        <v>115</v>
      </c>
      <c r="AH30" s="2" t="s">
        <v>267</v>
      </c>
      <c r="AI30" s="2" t="s">
        <v>266</v>
      </c>
      <c r="AJ30" s="2" t="s">
        <v>267</v>
      </c>
      <c r="AK30" s="7" t="s">
        <v>265</v>
      </c>
      <c r="AL30" s="20">
        <f>$AL$5-AM30</f>
        <v>0</v>
      </c>
      <c r="AM30" s="3">
        <f>COUNTIF(AN30:AT30,"×")*3</f>
        <v>21</v>
      </c>
      <c r="AN30" s="2" t="s">
        <v>115</v>
      </c>
      <c r="AO30" s="2" t="s">
        <v>115</v>
      </c>
      <c r="AP30" s="2" t="s">
        <v>115</v>
      </c>
      <c r="AQ30" s="2" t="s">
        <v>115</v>
      </c>
      <c r="AR30" s="2" t="s">
        <v>115</v>
      </c>
      <c r="AS30" s="2" t="s">
        <v>115</v>
      </c>
      <c r="AT30" s="7" t="s">
        <v>115</v>
      </c>
      <c r="AU30" s="1">
        <f t="shared" si="9"/>
        <v>86</v>
      </c>
    </row>
    <row r="31" spans="1:47" x14ac:dyDescent="0.4">
      <c r="A31" s="56">
        <v>22058</v>
      </c>
      <c r="B31" s="3" t="s">
        <v>171</v>
      </c>
      <c r="C31" s="12">
        <f>SUM(E31,U31,AC31,AL31,$D$5)</f>
        <v>61</v>
      </c>
      <c r="D31" s="17">
        <v>0</v>
      </c>
      <c r="E31" s="15">
        <f>$E$5-F31</f>
        <v>30</v>
      </c>
      <c r="F31" s="3">
        <f>COUNTIF(G31:T31,"×")*3</f>
        <v>12</v>
      </c>
      <c r="G31" s="2" t="s">
        <v>188</v>
      </c>
      <c r="H31" s="2" t="s">
        <v>188</v>
      </c>
      <c r="I31" s="2" t="s">
        <v>188</v>
      </c>
      <c r="J31" s="2" t="s">
        <v>133</v>
      </c>
      <c r="K31" s="2" t="s">
        <v>188</v>
      </c>
      <c r="L31" s="2" t="s">
        <v>188</v>
      </c>
      <c r="M31" s="2" t="s">
        <v>188</v>
      </c>
      <c r="N31" s="2" t="s">
        <v>133</v>
      </c>
      <c r="O31" s="2" t="s">
        <v>133</v>
      </c>
      <c r="P31" s="2" t="s">
        <v>188</v>
      </c>
      <c r="Q31" s="2" t="s">
        <v>188</v>
      </c>
      <c r="R31" s="2" t="s">
        <v>188</v>
      </c>
      <c r="S31" s="2" t="s">
        <v>133</v>
      </c>
      <c r="T31" s="7" t="s">
        <v>188</v>
      </c>
      <c r="U31" s="20">
        <f>$U$5-V31</f>
        <v>18</v>
      </c>
      <c r="V31" s="3">
        <f>COUNTIF(W31:AB31,"×")*3</f>
        <v>0</v>
      </c>
      <c r="W31" s="2" t="s">
        <v>204</v>
      </c>
      <c r="X31" s="2" t="s">
        <v>212</v>
      </c>
      <c r="Y31" s="2" t="s">
        <v>204</v>
      </c>
      <c r="Z31" s="2" t="s">
        <v>204</v>
      </c>
      <c r="AA31" s="2" t="s">
        <v>195</v>
      </c>
      <c r="AB31" s="7" t="s">
        <v>242</v>
      </c>
      <c r="AC31" s="20">
        <f>$AC$5-AD31</f>
        <v>8</v>
      </c>
      <c r="AD31" s="3">
        <f>COUNTIF(AE31:AK31,"×")*2</f>
        <v>6</v>
      </c>
      <c r="AE31" s="2" t="s">
        <v>266</v>
      </c>
      <c r="AF31" s="2" t="s">
        <v>267</v>
      </c>
      <c r="AG31" s="2" t="s">
        <v>265</v>
      </c>
      <c r="AH31" s="2" t="s">
        <v>253</v>
      </c>
      <c r="AI31" s="2" t="s">
        <v>253</v>
      </c>
      <c r="AJ31" s="2" t="s">
        <v>253</v>
      </c>
      <c r="AK31" s="7" t="s">
        <v>266</v>
      </c>
      <c r="AL31" s="20">
        <f>$AL$5-AM31</f>
        <v>0</v>
      </c>
      <c r="AM31" s="3">
        <f>COUNTIF(AN31:AT31,"×")*3</f>
        <v>21</v>
      </c>
      <c r="AN31" s="2" t="s">
        <v>115</v>
      </c>
      <c r="AO31" s="2" t="s">
        <v>115</v>
      </c>
      <c r="AP31" s="2" t="s">
        <v>115</v>
      </c>
      <c r="AQ31" s="2" t="s">
        <v>115</v>
      </c>
      <c r="AR31" s="2" t="s">
        <v>115</v>
      </c>
      <c r="AS31" s="2" t="s">
        <v>115</v>
      </c>
      <c r="AT31" s="7" t="s">
        <v>115</v>
      </c>
      <c r="AU31" s="1">
        <f t="shared" si="9"/>
        <v>78</v>
      </c>
    </row>
    <row r="32" spans="1:47" x14ac:dyDescent="0.4">
      <c r="A32" s="56">
        <v>22059</v>
      </c>
      <c r="B32" s="3" t="s">
        <v>172</v>
      </c>
      <c r="C32" s="12">
        <f>SUM(E32,U32,AC32,AL32,$D$5)</f>
        <v>41</v>
      </c>
      <c r="D32" s="17">
        <v>0</v>
      </c>
      <c r="E32" s="15">
        <f>$E$5-F32</f>
        <v>18</v>
      </c>
      <c r="F32" s="3">
        <f>COUNTIF(G32:T32,"×")*3</f>
        <v>24</v>
      </c>
      <c r="G32" s="2" t="s">
        <v>204</v>
      </c>
      <c r="H32" s="2" t="s">
        <v>204</v>
      </c>
      <c r="I32" s="2" t="s">
        <v>195</v>
      </c>
      <c r="J32" s="2" t="s">
        <v>209</v>
      </c>
      <c r="K32" s="2" t="s">
        <v>200</v>
      </c>
      <c r="L32" s="2" t="s">
        <v>200</v>
      </c>
      <c r="M32" s="2" t="s">
        <v>209</v>
      </c>
      <c r="N32" s="2" t="s">
        <v>202</v>
      </c>
      <c r="O32" s="2" t="s">
        <v>200</v>
      </c>
      <c r="P32" s="2" t="s">
        <v>208</v>
      </c>
      <c r="Q32" s="2" t="s">
        <v>195</v>
      </c>
      <c r="R32" s="2" t="s">
        <v>233</v>
      </c>
      <c r="S32" s="2" t="s">
        <v>200</v>
      </c>
      <c r="T32" s="7" t="s">
        <v>207</v>
      </c>
      <c r="U32" s="20">
        <f>$U$5-V32</f>
        <v>18</v>
      </c>
      <c r="V32" s="3">
        <f>COUNTIF(W32:AB32,"×")*3</f>
        <v>0</v>
      </c>
      <c r="W32" s="2" t="s">
        <v>195</v>
      </c>
      <c r="X32" s="2" t="s">
        <v>195</v>
      </c>
      <c r="Y32" s="2" t="s">
        <v>212</v>
      </c>
      <c r="Z32" s="2" t="s">
        <v>204</v>
      </c>
      <c r="AA32" s="2" t="s">
        <v>195</v>
      </c>
      <c r="AB32" s="7" t="s">
        <v>246</v>
      </c>
      <c r="AC32" s="20">
        <f>$AC$5-AD32</f>
        <v>0</v>
      </c>
      <c r="AD32" s="3">
        <f>COUNTIF(AE32:AK32,"×")*2</f>
        <v>14</v>
      </c>
      <c r="AE32" s="2" t="s">
        <v>271</v>
      </c>
      <c r="AF32" s="2" t="s">
        <v>271</v>
      </c>
      <c r="AG32" s="2" t="s">
        <v>115</v>
      </c>
      <c r="AH32" s="2" t="s">
        <v>115</v>
      </c>
      <c r="AI32" s="2" t="s">
        <v>261</v>
      </c>
      <c r="AJ32" s="2" t="s">
        <v>261</v>
      </c>
      <c r="AK32" s="7" t="s">
        <v>261</v>
      </c>
      <c r="AL32" s="20">
        <f>$AL$5-AM32</f>
        <v>0</v>
      </c>
      <c r="AM32" s="3">
        <f>COUNTIF(AN32:AT32,"×")*3</f>
        <v>21</v>
      </c>
      <c r="AN32" s="2" t="s">
        <v>115</v>
      </c>
      <c r="AO32" s="2" t="s">
        <v>115</v>
      </c>
      <c r="AP32" s="2" t="s">
        <v>115</v>
      </c>
      <c r="AQ32" s="2" t="s">
        <v>115</v>
      </c>
      <c r="AR32" s="2" t="s">
        <v>115</v>
      </c>
      <c r="AS32" s="2" t="s">
        <v>115</v>
      </c>
      <c r="AT32" s="7" t="s">
        <v>115</v>
      </c>
      <c r="AU32" s="1">
        <f t="shared" si="9"/>
        <v>64</v>
      </c>
    </row>
    <row r="33" spans="1:47" x14ac:dyDescent="0.4">
      <c r="A33" s="56">
        <v>22064</v>
      </c>
      <c r="B33" s="3" t="s">
        <v>173</v>
      </c>
      <c r="C33" s="12">
        <f>SUM(E33,U33,AC33,AL33,$D$5)</f>
        <v>100</v>
      </c>
      <c r="D33" s="17">
        <v>0</v>
      </c>
      <c r="E33" s="15">
        <f>$E$5-F33</f>
        <v>42</v>
      </c>
      <c r="F33" s="3">
        <f>COUNTIF(G33:T33,"×")*3</f>
        <v>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>$U$5-V33</f>
        <v>18</v>
      </c>
      <c r="V33" s="3">
        <f>COUNTIF(W33:AB33,"×")*3</f>
        <v>0</v>
      </c>
      <c r="W33" s="2"/>
      <c r="X33" s="2"/>
      <c r="Y33" s="2"/>
      <c r="Z33" s="2"/>
      <c r="AA33" s="2"/>
      <c r="AB33" s="7"/>
      <c r="AC33" s="20">
        <f>$AC$5-AD33</f>
        <v>14</v>
      </c>
      <c r="AD33" s="3">
        <f>COUNTIF(AE33:AK33,"×")*2</f>
        <v>0</v>
      </c>
      <c r="AE33" s="2"/>
      <c r="AF33" s="2"/>
      <c r="AG33" s="2"/>
      <c r="AH33" s="2"/>
      <c r="AI33" s="2"/>
      <c r="AJ33" s="2"/>
      <c r="AK33" s="7"/>
      <c r="AL33" s="20">
        <f>$AL$5-AM33</f>
        <v>21</v>
      </c>
      <c r="AM33" s="3">
        <f>COUNTIF(AN33:AT33,"×")*3</f>
        <v>0</v>
      </c>
      <c r="AN33" s="2"/>
      <c r="AO33" s="2"/>
      <c r="AP33" s="2"/>
      <c r="AQ33" s="2"/>
      <c r="AR33" s="2"/>
      <c r="AS33" s="2"/>
      <c r="AT33" s="7"/>
      <c r="AU33" s="1">
        <f t="shared" si="9"/>
        <v>100</v>
      </c>
    </row>
    <row r="34" spans="1:47" x14ac:dyDescent="0.4">
      <c r="A34" s="56">
        <v>22065</v>
      </c>
      <c r="B34" s="3" t="s">
        <v>174</v>
      </c>
      <c r="C34" s="12">
        <f>SUM(E34,U34,AC34,AL34,$D$5)</f>
        <v>76</v>
      </c>
      <c r="D34" s="17">
        <v>0</v>
      </c>
      <c r="E34" s="15">
        <f>$E$5-F34</f>
        <v>39</v>
      </c>
      <c r="F34" s="3">
        <f>COUNTIF(G34:T34,"×")*3</f>
        <v>3</v>
      </c>
      <c r="G34" s="2" t="s">
        <v>188</v>
      </c>
      <c r="H34" s="2" t="s">
        <v>188</v>
      </c>
      <c r="I34" s="2" t="s">
        <v>188</v>
      </c>
      <c r="J34" s="2" t="s">
        <v>188</v>
      </c>
      <c r="K34" s="2" t="s">
        <v>188</v>
      </c>
      <c r="L34" s="2" t="s">
        <v>188</v>
      </c>
      <c r="M34" s="2" t="s">
        <v>188</v>
      </c>
      <c r="N34" s="2" t="s">
        <v>188</v>
      </c>
      <c r="O34" s="2" t="s">
        <v>188</v>
      </c>
      <c r="P34" s="2" t="s">
        <v>188</v>
      </c>
      <c r="Q34" s="2" t="s">
        <v>188</v>
      </c>
      <c r="R34" s="2" t="s">
        <v>188</v>
      </c>
      <c r="S34" s="2" t="s">
        <v>133</v>
      </c>
      <c r="T34" s="7" t="s">
        <v>188</v>
      </c>
      <c r="U34" s="20">
        <f>$U$5-V34</f>
        <v>18</v>
      </c>
      <c r="V34" s="3">
        <f>COUNTIF(W34:AB34,"×")*3</f>
        <v>0</v>
      </c>
      <c r="W34" s="2" t="s">
        <v>190</v>
      </c>
      <c r="X34" s="2" t="s">
        <v>190</v>
      </c>
      <c r="Y34" s="2" t="s">
        <v>190</v>
      </c>
      <c r="Z34" s="2" t="s">
        <v>190</v>
      </c>
      <c r="AA34" s="2" t="s">
        <v>190</v>
      </c>
      <c r="AB34" s="7" t="s">
        <v>252</v>
      </c>
      <c r="AC34" s="20">
        <f>$AC$5-AD34</f>
        <v>14</v>
      </c>
      <c r="AD34" s="3">
        <f>COUNTIF(AE34:AK34,"×")*2</f>
        <v>0</v>
      </c>
      <c r="AE34" s="2" t="s">
        <v>266</v>
      </c>
      <c r="AF34" s="2" t="s">
        <v>266</v>
      </c>
      <c r="AG34" s="2" t="s">
        <v>266</v>
      </c>
      <c r="AH34" s="2" t="s">
        <v>266</v>
      </c>
      <c r="AI34" s="2" t="s">
        <v>267</v>
      </c>
      <c r="AJ34" s="2" t="s">
        <v>266</v>
      </c>
      <c r="AK34" s="7" t="s">
        <v>265</v>
      </c>
      <c r="AL34" s="20">
        <f>$AL$5-AM34</f>
        <v>0</v>
      </c>
      <c r="AM34" s="3">
        <f>COUNTIF(AN34:AT34,"×")*3</f>
        <v>21</v>
      </c>
      <c r="AN34" s="2" t="s">
        <v>115</v>
      </c>
      <c r="AO34" s="2" t="s">
        <v>115</v>
      </c>
      <c r="AP34" s="2" t="s">
        <v>115</v>
      </c>
      <c r="AQ34" s="2" t="s">
        <v>115</v>
      </c>
      <c r="AR34" s="2" t="s">
        <v>115</v>
      </c>
      <c r="AS34" s="2" t="s">
        <v>115</v>
      </c>
      <c r="AT34" s="7" t="s">
        <v>115</v>
      </c>
      <c r="AU34" s="1">
        <f t="shared" si="9"/>
        <v>87</v>
      </c>
    </row>
    <row r="35" spans="1:47" x14ac:dyDescent="0.4">
      <c r="A35" s="56">
        <v>22066</v>
      </c>
      <c r="B35" s="3" t="s">
        <v>175</v>
      </c>
      <c r="C35" s="12">
        <f>SUM(E35,U35,AC35,AL35,$D$5)</f>
        <v>88</v>
      </c>
      <c r="D35" s="17">
        <v>0</v>
      </c>
      <c r="E35" s="15">
        <f>$E$5-F35</f>
        <v>30</v>
      </c>
      <c r="F35" s="3">
        <f>COUNTIF(G35:T35,"×")*3</f>
        <v>12</v>
      </c>
      <c r="G35" s="2" t="s">
        <v>188</v>
      </c>
      <c r="H35" s="2" t="s">
        <v>188</v>
      </c>
      <c r="I35" s="2" t="s">
        <v>133</v>
      </c>
      <c r="J35" s="2" t="s">
        <v>188</v>
      </c>
      <c r="K35" s="2" t="s">
        <v>188</v>
      </c>
      <c r="L35" s="2" t="s">
        <v>188</v>
      </c>
      <c r="M35" s="2" t="s">
        <v>188</v>
      </c>
      <c r="N35" s="2" t="s">
        <v>133</v>
      </c>
      <c r="O35" s="2" t="s">
        <v>133</v>
      </c>
      <c r="P35" s="2" t="s">
        <v>188</v>
      </c>
      <c r="Q35" s="2" t="s">
        <v>188</v>
      </c>
      <c r="R35" s="2" t="s">
        <v>188</v>
      </c>
      <c r="S35" s="2" t="s">
        <v>133</v>
      </c>
      <c r="T35" s="7" t="s">
        <v>188</v>
      </c>
      <c r="U35" s="20">
        <f>$U$5-V35</f>
        <v>18</v>
      </c>
      <c r="V35" s="3">
        <f>COUNTIF(W35:AB35,"×")*3</f>
        <v>0</v>
      </c>
      <c r="W35" s="2" t="s">
        <v>190</v>
      </c>
      <c r="X35" s="2" t="s">
        <v>190</v>
      </c>
      <c r="Y35" s="2" t="s">
        <v>190</v>
      </c>
      <c r="Z35" s="2" t="s">
        <v>252</v>
      </c>
      <c r="AA35" s="2" t="s">
        <v>190</v>
      </c>
      <c r="AB35" s="7" t="s">
        <v>190</v>
      </c>
      <c r="AC35" s="20">
        <f>$AC$5-AD35</f>
        <v>14</v>
      </c>
      <c r="AD35" s="3">
        <f>COUNTIF(AE35:AK35,"×")*2</f>
        <v>0</v>
      </c>
      <c r="AE35" s="2" t="s">
        <v>266</v>
      </c>
      <c r="AF35" s="2" t="s">
        <v>267</v>
      </c>
      <c r="AG35" s="2" t="s">
        <v>266</v>
      </c>
      <c r="AH35" s="2" t="s">
        <v>263</v>
      </c>
      <c r="AI35" s="2" t="s">
        <v>266</v>
      </c>
      <c r="AJ35" s="2" t="s">
        <v>266</v>
      </c>
      <c r="AK35" s="7" t="s">
        <v>266</v>
      </c>
      <c r="AL35" s="20">
        <f>$AL$5-AM35</f>
        <v>21</v>
      </c>
      <c r="AM35" s="3">
        <f>COUNTIF(AN35:AT35,"×")*3</f>
        <v>0</v>
      </c>
      <c r="AN35" s="2" t="s">
        <v>190</v>
      </c>
      <c r="AO35" s="2" t="s">
        <v>190</v>
      </c>
      <c r="AP35" s="2" t="s">
        <v>190</v>
      </c>
      <c r="AQ35" s="2" t="s">
        <v>190</v>
      </c>
      <c r="AR35" s="2" t="s">
        <v>190</v>
      </c>
      <c r="AS35" s="2" t="s">
        <v>190</v>
      </c>
      <c r="AT35" s="7" t="s">
        <v>190</v>
      </c>
      <c r="AU35" s="1">
        <f t="shared" si="9"/>
        <v>93</v>
      </c>
    </row>
    <row r="36" spans="1:47" x14ac:dyDescent="0.4">
      <c r="A36" s="56">
        <v>22067</v>
      </c>
      <c r="B36" s="3" t="s">
        <v>176</v>
      </c>
      <c r="C36" s="12">
        <f>SUM(E36,U36,AC36,AL36,$D$5)</f>
        <v>17</v>
      </c>
      <c r="D36" s="17">
        <v>0</v>
      </c>
      <c r="E36" s="15">
        <f>$E$5-F36</f>
        <v>12</v>
      </c>
      <c r="F36" s="3">
        <f>COUNTIF(G36:T36,"×")*3</f>
        <v>30</v>
      </c>
      <c r="G36" s="2" t="s">
        <v>188</v>
      </c>
      <c r="H36" s="2" t="s">
        <v>188</v>
      </c>
      <c r="I36" s="2" t="s">
        <v>188</v>
      </c>
      <c r="J36" s="2" t="s">
        <v>188</v>
      </c>
      <c r="K36" s="2" t="s">
        <v>133</v>
      </c>
      <c r="L36" s="2" t="s">
        <v>133</v>
      </c>
      <c r="M36" s="2" t="s">
        <v>133</v>
      </c>
      <c r="N36" s="2" t="s">
        <v>133</v>
      </c>
      <c r="O36" s="2" t="s">
        <v>133</v>
      </c>
      <c r="P36" s="2" t="s">
        <v>133</v>
      </c>
      <c r="Q36" s="2" t="s">
        <v>133</v>
      </c>
      <c r="R36" s="2" t="s">
        <v>133</v>
      </c>
      <c r="S36" s="2" t="s">
        <v>133</v>
      </c>
      <c r="T36" s="7" t="s">
        <v>133</v>
      </c>
      <c r="U36" s="20">
        <f>$U$5-V36</f>
        <v>0</v>
      </c>
      <c r="V36" s="3">
        <f>COUNTIF(W36:AB36,"×")*3</f>
        <v>18</v>
      </c>
      <c r="W36" s="2" t="s">
        <v>253</v>
      </c>
      <c r="X36" s="2" t="s">
        <v>253</v>
      </c>
      <c r="Y36" s="2" t="s">
        <v>115</v>
      </c>
      <c r="Z36" s="2" t="s">
        <v>253</v>
      </c>
      <c r="AA36" s="2" t="s">
        <v>254</v>
      </c>
      <c r="AB36" s="7" t="s">
        <v>253</v>
      </c>
      <c r="AC36" s="20">
        <f>$AC$5-AD36</f>
        <v>0</v>
      </c>
      <c r="AD36" s="3">
        <f>COUNTIF(AE36:AK36,"×")*2</f>
        <v>14</v>
      </c>
      <c r="AE36" s="2" t="s">
        <v>271</v>
      </c>
      <c r="AF36" s="2" t="s">
        <v>269</v>
      </c>
      <c r="AG36" s="2" t="s">
        <v>269</v>
      </c>
      <c r="AH36" s="2" t="s">
        <v>262</v>
      </c>
      <c r="AI36" s="2" t="s">
        <v>261</v>
      </c>
      <c r="AJ36" s="2" t="s">
        <v>115</v>
      </c>
      <c r="AK36" s="7" t="s">
        <v>115</v>
      </c>
      <c r="AL36" s="20">
        <f>$AL$5-AM36</f>
        <v>0</v>
      </c>
      <c r="AM36" s="3">
        <f>COUNTIF(AN36:AT36,"×")*3</f>
        <v>21</v>
      </c>
      <c r="AN36" s="2" t="s">
        <v>115</v>
      </c>
      <c r="AO36" s="2" t="s">
        <v>115</v>
      </c>
      <c r="AP36" s="2" t="s">
        <v>115</v>
      </c>
      <c r="AQ36" s="2" t="s">
        <v>115</v>
      </c>
      <c r="AR36" s="2" t="s">
        <v>115</v>
      </c>
      <c r="AS36" s="2" t="s">
        <v>115</v>
      </c>
      <c r="AT36" s="7" t="s">
        <v>115</v>
      </c>
      <c r="AU36" s="1">
        <f t="shared" si="9"/>
        <v>41</v>
      </c>
    </row>
    <row r="37" spans="1:47" x14ac:dyDescent="0.4">
      <c r="A37" s="56">
        <v>22070</v>
      </c>
      <c r="B37" s="3" t="s">
        <v>177</v>
      </c>
      <c r="C37" s="12">
        <f>SUM(E37,U37,AC37,AL37,$D$5)</f>
        <v>94</v>
      </c>
      <c r="D37" s="17">
        <v>0</v>
      </c>
      <c r="E37" s="15">
        <f>$E$5-F37</f>
        <v>39</v>
      </c>
      <c r="F37" s="3">
        <f>COUNTIF(G37:T37,"×")*3</f>
        <v>3</v>
      </c>
      <c r="G37" s="2" t="s">
        <v>190</v>
      </c>
      <c r="H37" s="2" t="s">
        <v>190</v>
      </c>
      <c r="I37" s="2" t="s">
        <v>190</v>
      </c>
      <c r="J37" s="2" t="s">
        <v>190</v>
      </c>
      <c r="K37" s="2" t="s">
        <v>234</v>
      </c>
      <c r="L37" s="2" t="s">
        <v>192</v>
      </c>
      <c r="M37" s="2" t="s">
        <v>232</v>
      </c>
      <c r="N37" s="2" t="s">
        <v>190</v>
      </c>
      <c r="O37" s="2" t="s">
        <v>234</v>
      </c>
      <c r="P37" s="2" t="s">
        <v>232</v>
      </c>
      <c r="Q37" s="2" t="s">
        <v>190</v>
      </c>
      <c r="R37" s="2" t="s">
        <v>190</v>
      </c>
      <c r="S37" s="2" t="s">
        <v>115</v>
      </c>
      <c r="T37" s="7" t="s">
        <v>190</v>
      </c>
      <c r="U37" s="20">
        <f>$U$5-V37</f>
        <v>18</v>
      </c>
      <c r="V37" s="3">
        <f>COUNTIF(W37:AB37,"×")*3</f>
        <v>0</v>
      </c>
      <c r="W37" s="2" t="s">
        <v>190</v>
      </c>
      <c r="X37" s="2" t="s">
        <v>190</v>
      </c>
      <c r="Y37" s="2" t="s">
        <v>190</v>
      </c>
      <c r="Z37" s="2" t="s">
        <v>256</v>
      </c>
      <c r="AA37" s="2" t="s">
        <v>259</v>
      </c>
      <c r="AB37" s="7" t="s">
        <v>190</v>
      </c>
      <c r="AC37" s="20">
        <f>$AC$5-AD37</f>
        <v>14</v>
      </c>
      <c r="AD37" s="3">
        <f>COUNTIF(AE37:AK37,"×")*2</f>
        <v>0</v>
      </c>
      <c r="AE37" s="2" t="s">
        <v>266</v>
      </c>
      <c r="AF37" s="2" t="s">
        <v>264</v>
      </c>
      <c r="AG37" s="2" t="s">
        <v>266</v>
      </c>
      <c r="AH37" s="2" t="s">
        <v>268</v>
      </c>
      <c r="AI37" s="2" t="s">
        <v>266</v>
      </c>
      <c r="AJ37" s="2" t="s">
        <v>265</v>
      </c>
      <c r="AK37" s="7" t="s">
        <v>266</v>
      </c>
      <c r="AL37" s="20">
        <f>$AL$5-AM37</f>
        <v>18</v>
      </c>
      <c r="AM37" s="3">
        <f>COUNTIF(AN37:AT37,"×")*3</f>
        <v>3</v>
      </c>
      <c r="AN37" s="2" t="s">
        <v>190</v>
      </c>
      <c r="AO37" s="2" t="s">
        <v>190</v>
      </c>
      <c r="AP37" s="2" t="s">
        <v>115</v>
      </c>
      <c r="AQ37" s="2" t="s">
        <v>190</v>
      </c>
      <c r="AR37" s="2" t="s">
        <v>190</v>
      </c>
      <c r="AS37" s="2" t="s">
        <v>190</v>
      </c>
      <c r="AT37" s="7" t="s">
        <v>190</v>
      </c>
      <c r="AU37" s="1">
        <f t="shared" si="9"/>
        <v>96</v>
      </c>
    </row>
    <row r="38" spans="1:47" x14ac:dyDescent="0.4">
      <c r="A38" s="56">
        <v>22071</v>
      </c>
      <c r="B38" s="3" t="s">
        <v>178</v>
      </c>
      <c r="C38" s="12">
        <f>SUM(E38,U38,AC38,AL38,$D$5)</f>
        <v>67</v>
      </c>
      <c r="D38" s="17">
        <v>0</v>
      </c>
      <c r="E38" s="15">
        <f>$E$5-F38</f>
        <v>30</v>
      </c>
      <c r="F38" s="3">
        <f>COUNTIF(G38:T38,"×")*3</f>
        <v>12</v>
      </c>
      <c r="G38" s="2" t="s">
        <v>133</v>
      </c>
      <c r="H38" s="2" t="s">
        <v>188</v>
      </c>
      <c r="I38" s="2" t="s">
        <v>133</v>
      </c>
      <c r="J38" s="2" t="s">
        <v>133</v>
      </c>
      <c r="K38" s="2" t="s">
        <v>188</v>
      </c>
      <c r="L38" s="2" t="s">
        <v>188</v>
      </c>
      <c r="M38" s="2" t="s">
        <v>188</v>
      </c>
      <c r="N38" s="2" t="s">
        <v>188</v>
      </c>
      <c r="O38" s="2" t="s">
        <v>188</v>
      </c>
      <c r="P38" s="2" t="s">
        <v>188</v>
      </c>
      <c r="Q38" s="2" t="s">
        <v>188</v>
      </c>
      <c r="R38" s="2" t="s">
        <v>188</v>
      </c>
      <c r="S38" s="2" t="s">
        <v>133</v>
      </c>
      <c r="T38" s="7" t="s">
        <v>188</v>
      </c>
      <c r="U38" s="20">
        <f>$U$5-V38</f>
        <v>18</v>
      </c>
      <c r="V38" s="3">
        <f>COUNTIF(W38:AB38,"×")*3</f>
        <v>0</v>
      </c>
      <c r="W38" s="2" t="s">
        <v>190</v>
      </c>
      <c r="X38" s="2" t="s">
        <v>190</v>
      </c>
      <c r="Y38" s="2" t="s">
        <v>190</v>
      </c>
      <c r="Z38" s="2" t="s">
        <v>190</v>
      </c>
      <c r="AA38" s="2" t="s">
        <v>252</v>
      </c>
      <c r="AB38" s="7" t="s">
        <v>258</v>
      </c>
      <c r="AC38" s="20">
        <f>$AC$5-AD38</f>
        <v>14</v>
      </c>
      <c r="AD38" s="3">
        <f>COUNTIF(AE38:AK38,"×")*2</f>
        <v>0</v>
      </c>
      <c r="AE38" s="2" t="s">
        <v>263</v>
      </c>
      <c r="AF38" s="2" t="s">
        <v>276</v>
      </c>
      <c r="AG38" s="2" t="s">
        <v>267</v>
      </c>
      <c r="AH38" s="2" t="s">
        <v>276</v>
      </c>
      <c r="AI38" s="2" t="s">
        <v>266</v>
      </c>
      <c r="AJ38" s="2" t="s">
        <v>266</v>
      </c>
      <c r="AK38" s="7" t="s">
        <v>265</v>
      </c>
      <c r="AL38" s="20">
        <f>$AL$5-AM38</f>
        <v>0</v>
      </c>
      <c r="AM38" s="3">
        <f>COUNTIF(AN38:AT38,"×")*3</f>
        <v>21</v>
      </c>
      <c r="AN38" s="2" t="s">
        <v>115</v>
      </c>
      <c r="AO38" s="2" t="s">
        <v>115</v>
      </c>
      <c r="AP38" s="2" t="s">
        <v>115</v>
      </c>
      <c r="AQ38" s="2" t="s">
        <v>115</v>
      </c>
      <c r="AR38" s="2" t="s">
        <v>115</v>
      </c>
      <c r="AS38" s="2" t="s">
        <v>115</v>
      </c>
      <c r="AT38" s="7" t="s">
        <v>115</v>
      </c>
      <c r="AU38" s="1">
        <f t="shared" si="9"/>
        <v>81</v>
      </c>
    </row>
    <row r="39" spans="1:47" x14ac:dyDescent="0.4">
      <c r="A39" s="56">
        <v>22072</v>
      </c>
      <c r="B39" s="3" t="s">
        <v>179</v>
      </c>
      <c r="C39" s="12">
        <f>SUM(E39,U39,AC39,AL39,$D$5)</f>
        <v>43</v>
      </c>
      <c r="D39" s="17">
        <v>0</v>
      </c>
      <c r="E39" s="15">
        <f>$E$5-F39</f>
        <v>18</v>
      </c>
      <c r="F39" s="3">
        <f>COUNTIF(G39:T39,"×")*3</f>
        <v>24</v>
      </c>
      <c r="G39" s="2" t="s">
        <v>195</v>
      </c>
      <c r="H39" s="2" t="s">
        <v>195</v>
      </c>
      <c r="I39" s="2" t="s">
        <v>237</v>
      </c>
      <c r="J39" s="2" t="s">
        <v>238</v>
      </c>
      <c r="K39" s="2" t="s">
        <v>214</v>
      </c>
      <c r="L39" s="2" t="s">
        <v>195</v>
      </c>
      <c r="M39" s="2" t="s">
        <v>195</v>
      </c>
      <c r="N39" s="2" t="s">
        <v>200</v>
      </c>
      <c r="O39" s="2" t="s">
        <v>200</v>
      </c>
      <c r="P39" s="2" t="s">
        <v>200</v>
      </c>
      <c r="Q39" s="2" t="s">
        <v>239</v>
      </c>
      <c r="R39" s="2" t="s">
        <v>237</v>
      </c>
      <c r="S39" s="2" t="s">
        <v>214</v>
      </c>
      <c r="T39" s="7" t="s">
        <v>214</v>
      </c>
      <c r="U39" s="20">
        <f>$U$5-V39</f>
        <v>18</v>
      </c>
      <c r="V39" s="3">
        <f>COUNTIF(W39:AB39,"×")*3</f>
        <v>0</v>
      </c>
      <c r="W39" s="2" t="s">
        <v>190</v>
      </c>
      <c r="X39" s="2" t="s">
        <v>252</v>
      </c>
      <c r="Y39" s="2" t="s">
        <v>255</v>
      </c>
      <c r="Z39" s="2" t="s">
        <v>252</v>
      </c>
      <c r="AA39" s="2" t="s">
        <v>252</v>
      </c>
      <c r="AB39" s="7" t="s">
        <v>190</v>
      </c>
      <c r="AC39" s="20">
        <f>$AC$5-AD39</f>
        <v>2</v>
      </c>
      <c r="AD39" s="3">
        <f>COUNTIF(AE39:AK39,"×")*2</f>
        <v>12</v>
      </c>
      <c r="AE39" s="2" t="s">
        <v>253</v>
      </c>
      <c r="AF39" s="2" t="s">
        <v>276</v>
      </c>
      <c r="AG39" s="2" t="s">
        <v>115</v>
      </c>
      <c r="AH39" s="2" t="s">
        <v>262</v>
      </c>
      <c r="AI39" s="2" t="s">
        <v>271</v>
      </c>
      <c r="AJ39" s="2" t="s">
        <v>115</v>
      </c>
      <c r="AK39" s="7" t="s">
        <v>271</v>
      </c>
      <c r="AL39" s="20">
        <f>$AL$5-AM39</f>
        <v>0</v>
      </c>
      <c r="AM39" s="3">
        <f>COUNTIF(AN39:AT39,"×")*3</f>
        <v>21</v>
      </c>
      <c r="AN39" s="2" t="s">
        <v>115</v>
      </c>
      <c r="AO39" s="2" t="s">
        <v>115</v>
      </c>
      <c r="AP39" s="2" t="s">
        <v>115</v>
      </c>
      <c r="AQ39" s="2" t="s">
        <v>115</v>
      </c>
      <c r="AR39" s="2" t="s">
        <v>115</v>
      </c>
      <c r="AS39" s="2" t="s">
        <v>115</v>
      </c>
      <c r="AT39" s="7" t="s">
        <v>115</v>
      </c>
      <c r="AU39" s="1">
        <f t="shared" si="9"/>
        <v>65</v>
      </c>
    </row>
    <row r="40" spans="1:47" x14ac:dyDescent="0.4">
      <c r="A40" s="56">
        <v>22073</v>
      </c>
      <c r="B40" s="3" t="s">
        <v>180</v>
      </c>
      <c r="C40" s="12">
        <f>SUM(E40,U40,AC40,AL40,$D$5)</f>
        <v>49</v>
      </c>
      <c r="D40" s="17">
        <v>0</v>
      </c>
      <c r="E40" s="15">
        <f>$E$5-F40</f>
        <v>21</v>
      </c>
      <c r="F40" s="3">
        <f>COUNTIF(G40:T40,"×")*3</f>
        <v>21</v>
      </c>
      <c r="G40" s="2" t="s">
        <v>188</v>
      </c>
      <c r="H40" s="2" t="s">
        <v>133</v>
      </c>
      <c r="I40" s="2" t="s">
        <v>188</v>
      </c>
      <c r="J40" s="2" t="s">
        <v>188</v>
      </c>
      <c r="K40" s="2" t="s">
        <v>188</v>
      </c>
      <c r="L40" s="2" t="s">
        <v>133</v>
      </c>
      <c r="M40" s="2" t="s">
        <v>133</v>
      </c>
      <c r="N40" s="2" t="s">
        <v>133</v>
      </c>
      <c r="O40" s="2" t="s">
        <v>133</v>
      </c>
      <c r="P40" s="2" t="s">
        <v>188</v>
      </c>
      <c r="Q40" s="2" t="s">
        <v>188</v>
      </c>
      <c r="R40" s="2" t="s">
        <v>133</v>
      </c>
      <c r="S40" s="2" t="s">
        <v>133</v>
      </c>
      <c r="T40" s="7" t="s">
        <v>188</v>
      </c>
      <c r="U40" s="20">
        <f>$U$5-V40</f>
        <v>15</v>
      </c>
      <c r="V40" s="3">
        <f>COUNTIF(W40:AB40,"×")*3</f>
        <v>3</v>
      </c>
      <c r="W40" s="2" t="s">
        <v>256</v>
      </c>
      <c r="X40" s="2" t="s">
        <v>257</v>
      </c>
      <c r="Y40" s="2" t="s">
        <v>256</v>
      </c>
      <c r="Z40" s="2" t="s">
        <v>115</v>
      </c>
      <c r="AA40" s="2" t="s">
        <v>190</v>
      </c>
      <c r="AB40" s="7" t="s">
        <v>190</v>
      </c>
      <c r="AC40" s="20">
        <f>$AC$5-AD40</f>
        <v>8</v>
      </c>
      <c r="AD40" s="3">
        <f>COUNTIF(AE40:AK40,"×")*2</f>
        <v>6</v>
      </c>
      <c r="AE40" s="2" t="s">
        <v>266</v>
      </c>
      <c r="AF40" s="2" t="s">
        <v>267</v>
      </c>
      <c r="AG40" s="2" t="s">
        <v>262</v>
      </c>
      <c r="AH40" s="2" t="s">
        <v>115</v>
      </c>
      <c r="AI40" s="2" t="s">
        <v>115</v>
      </c>
      <c r="AJ40" s="2" t="s">
        <v>266</v>
      </c>
      <c r="AK40" s="7" t="s">
        <v>266</v>
      </c>
      <c r="AL40" s="20">
        <f>$AL$5-AM40</f>
        <v>0</v>
      </c>
      <c r="AM40" s="3">
        <f>COUNTIF(AN40:AT40,"×")*3</f>
        <v>21</v>
      </c>
      <c r="AN40" s="2" t="s">
        <v>115</v>
      </c>
      <c r="AO40" s="2" t="s">
        <v>115</v>
      </c>
      <c r="AP40" s="2" t="s">
        <v>115</v>
      </c>
      <c r="AQ40" s="2" t="s">
        <v>115</v>
      </c>
      <c r="AR40" s="2" t="s">
        <v>115</v>
      </c>
      <c r="AS40" s="2" t="s">
        <v>115</v>
      </c>
      <c r="AT40" s="7" t="s">
        <v>115</v>
      </c>
      <c r="AU40" s="1">
        <f t="shared" si="9"/>
        <v>70</v>
      </c>
    </row>
    <row r="41" spans="1:47" x14ac:dyDescent="0.4">
      <c r="A41" s="56">
        <v>22080</v>
      </c>
      <c r="B41" s="3" t="s">
        <v>181</v>
      </c>
      <c r="C41" s="12">
        <f>SUM(E41,U41,AC41,AL41,$D$5)</f>
        <v>11</v>
      </c>
      <c r="D41" s="17">
        <v>0</v>
      </c>
      <c r="E41" s="15">
        <f>$E$5-F41</f>
        <v>0</v>
      </c>
      <c r="F41" s="3">
        <f>COUNTIF(G41:T41,"×")*3</f>
        <v>42</v>
      </c>
      <c r="G41" s="2" t="s">
        <v>115</v>
      </c>
      <c r="H41" s="2" t="s">
        <v>201</v>
      </c>
      <c r="I41" s="2" t="s">
        <v>115</v>
      </c>
      <c r="J41" s="2" t="s">
        <v>115</v>
      </c>
      <c r="K41" s="2" t="s">
        <v>193</v>
      </c>
      <c r="L41" s="2" t="s">
        <v>193</v>
      </c>
      <c r="M41" s="2" t="s">
        <v>115</v>
      </c>
      <c r="N41" s="2" t="s">
        <v>201</v>
      </c>
      <c r="O41" s="2" t="s">
        <v>115</v>
      </c>
      <c r="P41" s="2" t="s">
        <v>193</v>
      </c>
      <c r="Q41" s="2" t="s">
        <v>115</v>
      </c>
      <c r="R41" s="2" t="s">
        <v>193</v>
      </c>
      <c r="S41" s="2" t="s">
        <v>115</v>
      </c>
      <c r="T41" s="7" t="s">
        <v>115</v>
      </c>
      <c r="U41" s="20">
        <f>$U$5-V41</f>
        <v>6</v>
      </c>
      <c r="V41" s="3">
        <f>COUNTIF(W41:AB41,"×")*3</f>
        <v>12</v>
      </c>
      <c r="W41" s="2" t="s">
        <v>115</v>
      </c>
      <c r="X41" s="2" t="s">
        <v>115</v>
      </c>
      <c r="Y41" s="2" t="s">
        <v>190</v>
      </c>
      <c r="Z41" s="2" t="s">
        <v>115</v>
      </c>
      <c r="AA41" s="2" t="s">
        <v>190</v>
      </c>
      <c r="AB41" s="7" t="s">
        <v>115</v>
      </c>
      <c r="AC41" s="20">
        <f>$AC$5-AD41</f>
        <v>0</v>
      </c>
      <c r="AD41" s="3">
        <f>COUNTIF(AE41:AK41,"×")*2</f>
        <v>14</v>
      </c>
      <c r="AE41" s="2" t="s">
        <v>115</v>
      </c>
      <c r="AF41" s="2" t="s">
        <v>115</v>
      </c>
      <c r="AG41" s="2" t="s">
        <v>115</v>
      </c>
      <c r="AH41" s="2" t="s">
        <v>115</v>
      </c>
      <c r="AI41" s="2" t="s">
        <v>115</v>
      </c>
      <c r="AJ41" s="2" t="s">
        <v>115</v>
      </c>
      <c r="AK41" s="7" t="s">
        <v>261</v>
      </c>
      <c r="AL41" s="20">
        <f>$AL$5-AM41</f>
        <v>0</v>
      </c>
      <c r="AM41" s="3">
        <f>COUNTIF(AN41:AT41,"×")*3</f>
        <v>21</v>
      </c>
      <c r="AN41" s="2" t="s">
        <v>115</v>
      </c>
      <c r="AO41" s="2" t="s">
        <v>115</v>
      </c>
      <c r="AP41" s="2" t="s">
        <v>115</v>
      </c>
      <c r="AQ41" s="2" t="s">
        <v>115</v>
      </c>
      <c r="AR41" s="2" t="s">
        <v>115</v>
      </c>
      <c r="AS41" s="2" t="s">
        <v>115</v>
      </c>
      <c r="AT41" s="7" t="s">
        <v>115</v>
      </c>
      <c r="AU41" s="1">
        <f t="shared" si="9"/>
        <v>33</v>
      </c>
    </row>
    <row r="42" spans="1:47" x14ac:dyDescent="0.4">
      <c r="A42" s="56">
        <v>22081</v>
      </c>
      <c r="B42" s="3" t="s">
        <v>182</v>
      </c>
      <c r="C42" s="12">
        <f>SUM(E42,U42,AC42,AL42,$D$5)</f>
        <v>94</v>
      </c>
      <c r="D42" s="17">
        <v>0</v>
      </c>
      <c r="E42" s="15">
        <f>$E$5-F42</f>
        <v>36</v>
      </c>
      <c r="F42" s="3">
        <f>COUNTIF(G42:T42,"×")*3</f>
        <v>6</v>
      </c>
      <c r="G42" s="2" t="s">
        <v>188</v>
      </c>
      <c r="H42" s="2" t="s">
        <v>188</v>
      </c>
      <c r="I42" s="2" t="s">
        <v>188</v>
      </c>
      <c r="J42" s="2" t="s">
        <v>188</v>
      </c>
      <c r="K42" s="2" t="s">
        <v>188</v>
      </c>
      <c r="L42" s="2" t="s">
        <v>188</v>
      </c>
      <c r="M42" s="2" t="s">
        <v>133</v>
      </c>
      <c r="N42" s="2" t="s">
        <v>188</v>
      </c>
      <c r="O42" s="2" t="s">
        <v>188</v>
      </c>
      <c r="P42" s="2" t="s">
        <v>188</v>
      </c>
      <c r="Q42" s="2" t="s">
        <v>188</v>
      </c>
      <c r="R42" s="2" t="s">
        <v>188</v>
      </c>
      <c r="S42" s="2" t="s">
        <v>133</v>
      </c>
      <c r="T42" s="7" t="s">
        <v>188</v>
      </c>
      <c r="U42" s="20">
        <f>$U$5-V42</f>
        <v>18</v>
      </c>
      <c r="V42" s="3">
        <f>COUNTIF(W42:AB42,"×")*3</f>
        <v>0</v>
      </c>
      <c r="W42" s="2" t="s">
        <v>190</v>
      </c>
      <c r="X42" s="2" t="s">
        <v>255</v>
      </c>
      <c r="Y42" s="2" t="s">
        <v>252</v>
      </c>
      <c r="Z42" s="2" t="s">
        <v>257</v>
      </c>
      <c r="AA42" s="2" t="s">
        <v>257</v>
      </c>
      <c r="AB42" s="7" t="s">
        <v>257</v>
      </c>
      <c r="AC42" s="20">
        <f>$AC$5-AD42</f>
        <v>14</v>
      </c>
      <c r="AD42" s="3">
        <f>COUNTIF(AE42:AK42,"×")*2</f>
        <v>0</v>
      </c>
      <c r="AE42" s="2" t="s">
        <v>266</v>
      </c>
      <c r="AF42" s="2" t="s">
        <v>265</v>
      </c>
      <c r="AG42" s="2" t="s">
        <v>265</v>
      </c>
      <c r="AH42" s="2" t="s">
        <v>266</v>
      </c>
      <c r="AI42" s="2" t="s">
        <v>266</v>
      </c>
      <c r="AJ42" s="2" t="s">
        <v>266</v>
      </c>
      <c r="AK42" s="7" t="s">
        <v>263</v>
      </c>
      <c r="AL42" s="20">
        <f>$AL$5-AM42</f>
        <v>21</v>
      </c>
      <c r="AM42" s="3">
        <f>COUNTIF(AN42:AT42,"×")*3</f>
        <v>0</v>
      </c>
      <c r="AN42" s="2" t="s">
        <v>190</v>
      </c>
      <c r="AO42" s="2" t="s">
        <v>190</v>
      </c>
      <c r="AP42" s="2" t="s">
        <v>190</v>
      </c>
      <c r="AQ42" s="2" t="s">
        <v>190</v>
      </c>
      <c r="AR42" s="2" t="s">
        <v>190</v>
      </c>
      <c r="AS42" s="2" t="s">
        <v>190</v>
      </c>
      <c r="AT42" s="7" t="s">
        <v>190</v>
      </c>
      <c r="AU42" s="1">
        <f t="shared" si="9"/>
        <v>96</v>
      </c>
    </row>
    <row r="43" spans="1:47" x14ac:dyDescent="0.4">
      <c r="A43" s="56">
        <v>22085</v>
      </c>
      <c r="B43" s="3" t="s">
        <v>183</v>
      </c>
      <c r="C43" s="12">
        <f>SUM(E43,U43,AC43,AL43,$D$5)</f>
        <v>38</v>
      </c>
      <c r="D43" s="17">
        <v>0</v>
      </c>
      <c r="E43" s="15">
        <f>$E$5-F43</f>
        <v>12</v>
      </c>
      <c r="F43" s="3">
        <f>COUNTIF(G43:T43,"×")*3</f>
        <v>30</v>
      </c>
      <c r="G43" s="2" t="s">
        <v>191</v>
      </c>
      <c r="H43" s="2" t="s">
        <v>235</v>
      </c>
      <c r="I43" s="2" t="s">
        <v>235</v>
      </c>
      <c r="J43" s="2" t="s">
        <v>235</v>
      </c>
      <c r="K43" s="2" t="s">
        <v>236</v>
      </c>
      <c r="L43" s="2" t="s">
        <v>201</v>
      </c>
      <c r="M43" s="2" t="s">
        <v>201</v>
      </c>
      <c r="N43" s="2" t="s">
        <v>236</v>
      </c>
      <c r="O43" s="2" t="s">
        <v>236</v>
      </c>
      <c r="P43" s="2" t="s">
        <v>115</v>
      </c>
      <c r="Q43" s="2" t="s">
        <v>194</v>
      </c>
      <c r="R43" s="2" t="s">
        <v>236</v>
      </c>
      <c r="S43" s="2" t="s">
        <v>115</v>
      </c>
      <c r="T43" s="7" t="s">
        <v>236</v>
      </c>
      <c r="U43" s="20">
        <f>$U$5-V43</f>
        <v>15</v>
      </c>
      <c r="V43" s="3">
        <f>COUNTIF(W43:AB43,"×")*3</f>
        <v>3</v>
      </c>
      <c r="W43" s="2" t="s">
        <v>260</v>
      </c>
      <c r="X43" s="2" t="s">
        <v>190</v>
      </c>
      <c r="Y43" s="2" t="s">
        <v>190</v>
      </c>
      <c r="Z43" s="2" t="s">
        <v>190</v>
      </c>
      <c r="AA43" s="2" t="s">
        <v>190</v>
      </c>
      <c r="AB43" s="7" t="s">
        <v>190</v>
      </c>
      <c r="AC43" s="20">
        <f>$AC$5-AD43</f>
        <v>6</v>
      </c>
      <c r="AD43" s="3">
        <f>COUNTIF(AE43:AK43,"×")*2</f>
        <v>8</v>
      </c>
      <c r="AE43" s="2" t="s">
        <v>277</v>
      </c>
      <c r="AF43" s="2" t="s">
        <v>267</v>
      </c>
      <c r="AG43" s="2" t="s">
        <v>115</v>
      </c>
      <c r="AH43" s="2" t="s">
        <v>262</v>
      </c>
      <c r="AI43" s="2" t="s">
        <v>115</v>
      </c>
      <c r="AJ43" s="2" t="s">
        <v>115</v>
      </c>
      <c r="AK43" s="7" t="s">
        <v>278</v>
      </c>
      <c r="AL43" s="20">
        <f>$AL$5-AM43</f>
        <v>0</v>
      </c>
      <c r="AM43" s="3">
        <f>COUNTIF(AN43:AT43,"×")*3</f>
        <v>21</v>
      </c>
      <c r="AN43" s="2" t="s">
        <v>115</v>
      </c>
      <c r="AO43" s="2" t="s">
        <v>115</v>
      </c>
      <c r="AP43" s="2" t="s">
        <v>115</v>
      </c>
      <c r="AQ43" s="2" t="s">
        <v>115</v>
      </c>
      <c r="AR43" s="2" t="s">
        <v>115</v>
      </c>
      <c r="AS43" s="2" t="s">
        <v>115</v>
      </c>
      <c r="AT43" s="7" t="s">
        <v>115</v>
      </c>
      <c r="AU43" s="1">
        <f t="shared" si="9"/>
        <v>61</v>
      </c>
    </row>
    <row r="44" spans="1:47" x14ac:dyDescent="0.4">
      <c r="A44" s="56">
        <v>22086</v>
      </c>
      <c r="B44" s="3" t="s">
        <v>184</v>
      </c>
      <c r="C44" s="12">
        <f>SUM(E44,U44,AC44,AL44,$D$5)</f>
        <v>59</v>
      </c>
      <c r="D44" s="17">
        <v>0</v>
      </c>
      <c r="E44" s="15">
        <f>$E$5-F44</f>
        <v>9</v>
      </c>
      <c r="F44" s="3">
        <f>COUNTIF(G44:T44,"×")*3</f>
        <v>33</v>
      </c>
      <c r="G44" s="2" t="s">
        <v>133</v>
      </c>
      <c r="H44" s="2" t="s">
        <v>133</v>
      </c>
      <c r="I44" s="2" t="s">
        <v>133</v>
      </c>
      <c r="J44" s="2" t="s">
        <v>133</v>
      </c>
      <c r="K44" s="2" t="s">
        <v>188</v>
      </c>
      <c r="L44" s="2" t="s">
        <v>133</v>
      </c>
      <c r="M44" s="2" t="s">
        <v>133</v>
      </c>
      <c r="N44" s="2" t="s">
        <v>133</v>
      </c>
      <c r="O44" s="2" t="s">
        <v>133</v>
      </c>
      <c r="P44" s="2" t="s">
        <v>133</v>
      </c>
      <c r="Q44" s="2" t="s">
        <v>133</v>
      </c>
      <c r="R44" s="2" t="s">
        <v>188</v>
      </c>
      <c r="S44" s="2" t="s">
        <v>133</v>
      </c>
      <c r="T44" s="7" t="s">
        <v>188</v>
      </c>
      <c r="U44" s="20">
        <f>$U$5-V44</f>
        <v>18</v>
      </c>
      <c r="V44" s="3">
        <f>COUNTIF(W44:AB44,"×")*3</f>
        <v>0</v>
      </c>
      <c r="W44" s="2" t="s">
        <v>290</v>
      </c>
      <c r="X44" s="2" t="s">
        <v>290</v>
      </c>
      <c r="Y44" s="2" t="s">
        <v>290</v>
      </c>
      <c r="Z44" s="2" t="s">
        <v>290</v>
      </c>
      <c r="AA44" s="2" t="s">
        <v>290</v>
      </c>
      <c r="AB44" s="7" t="s">
        <v>290</v>
      </c>
      <c r="AC44" s="20">
        <f>$AC$5-AD44</f>
        <v>12</v>
      </c>
      <c r="AD44" s="3">
        <f>COUNTIF(AE44:AK44,"×")*2</f>
        <v>2</v>
      </c>
      <c r="AE44" s="2" t="s">
        <v>290</v>
      </c>
      <c r="AF44" s="2" t="s">
        <v>290</v>
      </c>
      <c r="AG44" s="2" t="s">
        <v>290</v>
      </c>
      <c r="AH44" s="2" t="s">
        <v>290</v>
      </c>
      <c r="AI44" s="2" t="s">
        <v>290</v>
      </c>
      <c r="AJ44" s="2" t="s">
        <v>291</v>
      </c>
      <c r="AK44" s="7" t="s">
        <v>290</v>
      </c>
      <c r="AL44" s="20">
        <f>$AL$5-AM44</f>
        <v>15</v>
      </c>
      <c r="AM44" s="3">
        <f>COUNTIF(AN44:AT44,"×")*3</f>
        <v>6</v>
      </c>
      <c r="AN44" s="2" t="s">
        <v>290</v>
      </c>
      <c r="AO44" s="2" t="s">
        <v>291</v>
      </c>
      <c r="AP44" s="2" t="s">
        <v>291</v>
      </c>
      <c r="AQ44" s="2" t="s">
        <v>290</v>
      </c>
      <c r="AR44" s="2" t="s">
        <v>290</v>
      </c>
      <c r="AS44" s="2" t="s">
        <v>290</v>
      </c>
      <c r="AT44" s="7" t="s">
        <v>290</v>
      </c>
      <c r="AU44" s="1">
        <f t="shared" si="9"/>
        <v>76</v>
      </c>
    </row>
    <row r="45" spans="1:47" x14ac:dyDescent="0.4">
      <c r="A45" s="56">
        <v>22087</v>
      </c>
      <c r="B45" s="3" t="s">
        <v>185</v>
      </c>
      <c r="C45" s="12">
        <f>SUM(E45,U45,AC45,AL45,$D$5)</f>
        <v>97</v>
      </c>
      <c r="D45" s="17">
        <v>0</v>
      </c>
      <c r="E45" s="15">
        <f>$E$5-F45</f>
        <v>39</v>
      </c>
      <c r="F45" s="3">
        <f>COUNTIF(G45:T45,"×")*3</f>
        <v>3</v>
      </c>
      <c r="G45" s="2" t="s">
        <v>188</v>
      </c>
      <c r="H45" s="2" t="s">
        <v>188</v>
      </c>
      <c r="I45" s="2" t="s">
        <v>188</v>
      </c>
      <c r="J45" s="2" t="s">
        <v>188</v>
      </c>
      <c r="K45" s="2" t="s">
        <v>188</v>
      </c>
      <c r="L45" s="2" t="s">
        <v>188</v>
      </c>
      <c r="M45" s="2" t="s">
        <v>188</v>
      </c>
      <c r="N45" s="2" t="s">
        <v>188</v>
      </c>
      <c r="O45" s="2" t="s">
        <v>188</v>
      </c>
      <c r="P45" s="2" t="s">
        <v>188</v>
      </c>
      <c r="Q45" s="2" t="s">
        <v>188</v>
      </c>
      <c r="R45" s="2" t="s">
        <v>188</v>
      </c>
      <c r="S45" s="2" t="s">
        <v>133</v>
      </c>
      <c r="T45" s="7" t="s">
        <v>188</v>
      </c>
      <c r="U45" s="20">
        <f>$U$5-V45</f>
        <v>18</v>
      </c>
      <c r="V45" s="3">
        <f>COUNTIF(W45:AB45,"×")*3</f>
        <v>0</v>
      </c>
      <c r="W45" s="2" t="s">
        <v>190</v>
      </c>
      <c r="X45" s="2" t="s">
        <v>255</v>
      </c>
      <c r="Y45" s="2" t="s">
        <v>259</v>
      </c>
      <c r="Z45" s="2" t="s">
        <v>259</v>
      </c>
      <c r="AA45" s="2" t="s">
        <v>252</v>
      </c>
      <c r="AB45" s="7" t="s">
        <v>259</v>
      </c>
      <c r="AC45" s="20">
        <f>$AC$5-AD45</f>
        <v>14</v>
      </c>
      <c r="AD45" s="3">
        <f>COUNTIF(AE45:AK45,"×")*2</f>
        <v>0</v>
      </c>
      <c r="AE45" s="2" t="s">
        <v>267</v>
      </c>
      <c r="AF45" s="2" t="s">
        <v>266</v>
      </c>
      <c r="AG45" s="2" t="s">
        <v>266</v>
      </c>
      <c r="AH45" s="2" t="s">
        <v>263</v>
      </c>
      <c r="AI45" s="2" t="s">
        <v>266</v>
      </c>
      <c r="AJ45" s="2" t="s">
        <v>266</v>
      </c>
      <c r="AK45" s="7" t="s">
        <v>266</v>
      </c>
      <c r="AL45" s="20">
        <f>$AL$5-AM45</f>
        <v>21</v>
      </c>
      <c r="AM45" s="3">
        <f>COUNTIF(AN45:AT45,"×")*3</f>
        <v>0</v>
      </c>
      <c r="AN45" s="2" t="s">
        <v>190</v>
      </c>
      <c r="AO45" s="2" t="s">
        <v>190</v>
      </c>
      <c r="AP45" s="2" t="s">
        <v>190</v>
      </c>
      <c r="AQ45" s="2" t="s">
        <v>190</v>
      </c>
      <c r="AR45" s="2" t="s">
        <v>190</v>
      </c>
      <c r="AS45" s="2" t="s">
        <v>190</v>
      </c>
      <c r="AT45" s="7" t="s">
        <v>190</v>
      </c>
      <c r="AU45" s="1">
        <f t="shared" si="9"/>
        <v>98</v>
      </c>
    </row>
    <row r="46" spans="1:47" x14ac:dyDescent="0.4">
      <c r="A46" s="56">
        <v>22114</v>
      </c>
      <c r="B46" s="3" t="s">
        <v>186</v>
      </c>
      <c r="C46" s="12">
        <f>SUM(E46,U46,AC46,AL46,$D$5)</f>
        <v>14</v>
      </c>
      <c r="D46" s="17">
        <v>0</v>
      </c>
      <c r="E46" s="15">
        <f>$E$5-F46</f>
        <v>9</v>
      </c>
      <c r="F46" s="3">
        <f>COUNTIF(G46:T46,"×")*3</f>
        <v>33</v>
      </c>
      <c r="G46" s="2" t="s">
        <v>188</v>
      </c>
      <c r="H46" s="2" t="s">
        <v>188</v>
      </c>
      <c r="I46" s="2" t="s">
        <v>188</v>
      </c>
      <c r="J46" s="2" t="s">
        <v>133</v>
      </c>
      <c r="K46" s="2" t="s">
        <v>133</v>
      </c>
      <c r="L46" s="2" t="s">
        <v>133</v>
      </c>
      <c r="M46" s="2" t="s">
        <v>133</v>
      </c>
      <c r="N46" s="2" t="s">
        <v>133</v>
      </c>
      <c r="O46" s="2" t="s">
        <v>133</v>
      </c>
      <c r="P46" s="2" t="s">
        <v>133</v>
      </c>
      <c r="Q46" s="2" t="s">
        <v>133</v>
      </c>
      <c r="R46" s="2" t="s">
        <v>133</v>
      </c>
      <c r="S46" s="2" t="s">
        <v>133</v>
      </c>
      <c r="T46" s="7" t="s">
        <v>133</v>
      </c>
      <c r="U46" s="20">
        <f>$U$5-V46</f>
        <v>0</v>
      </c>
      <c r="V46" s="3">
        <f>COUNTIF(W46:AB46,"×")*3</f>
        <v>18</v>
      </c>
      <c r="W46" s="2" t="s">
        <v>115</v>
      </c>
      <c r="X46" s="2" t="s">
        <v>261</v>
      </c>
      <c r="Y46" s="2" t="s">
        <v>115</v>
      </c>
      <c r="Z46" s="2" t="s">
        <v>262</v>
      </c>
      <c r="AA46" s="2" t="s">
        <v>115</v>
      </c>
      <c r="AB46" s="7" t="s">
        <v>115</v>
      </c>
      <c r="AC46" s="20">
        <f>$AC$5-AD46</f>
        <v>0</v>
      </c>
      <c r="AD46" s="3">
        <f>COUNTIF(AE46:AK46,"×")*2</f>
        <v>14</v>
      </c>
      <c r="AE46" s="2" t="s">
        <v>115</v>
      </c>
      <c r="AF46" s="2" t="s">
        <v>115</v>
      </c>
      <c r="AG46" s="2" t="s">
        <v>271</v>
      </c>
      <c r="AH46" s="2" t="s">
        <v>261</v>
      </c>
      <c r="AI46" s="2" t="s">
        <v>261</v>
      </c>
      <c r="AJ46" s="2" t="s">
        <v>115</v>
      </c>
      <c r="AK46" s="7" t="s">
        <v>115</v>
      </c>
      <c r="AL46" s="20">
        <f>$AL$5-AM46</f>
        <v>0</v>
      </c>
      <c r="AM46" s="3">
        <f>COUNTIF(AN46:AT46,"×")*3</f>
        <v>21</v>
      </c>
      <c r="AN46" s="2" t="s">
        <v>115</v>
      </c>
      <c r="AO46" s="2" t="s">
        <v>115</v>
      </c>
      <c r="AP46" s="2" t="s">
        <v>115</v>
      </c>
      <c r="AQ46" s="2" t="s">
        <v>115</v>
      </c>
      <c r="AR46" s="2" t="s">
        <v>115</v>
      </c>
      <c r="AS46" s="2" t="s">
        <v>115</v>
      </c>
      <c r="AT46" s="7" t="s">
        <v>115</v>
      </c>
      <c r="AU46" s="1">
        <f t="shared" si="9"/>
        <v>37</v>
      </c>
    </row>
    <row r="47" spans="1:47" x14ac:dyDescent="0.4">
      <c r="A47" s="56">
        <v>22116</v>
      </c>
      <c r="B47" s="3" t="s">
        <v>187</v>
      </c>
      <c r="C47" s="12">
        <f>SUM(E47,U47,AC47,AL47,$D$5)</f>
        <v>26</v>
      </c>
      <c r="D47" s="17">
        <v>0</v>
      </c>
      <c r="E47" s="15">
        <f>$E$5-F47</f>
        <v>3</v>
      </c>
      <c r="F47" s="3">
        <f>COUNTIF(G47:T47,"×")*3</f>
        <v>39</v>
      </c>
      <c r="G47" s="2" t="s">
        <v>133</v>
      </c>
      <c r="H47" s="2" t="s">
        <v>133</v>
      </c>
      <c r="I47" s="2" t="s">
        <v>133</v>
      </c>
      <c r="J47" s="2" t="s">
        <v>133</v>
      </c>
      <c r="K47" s="2" t="s">
        <v>288</v>
      </c>
      <c r="L47" s="2" t="s">
        <v>133</v>
      </c>
      <c r="M47" s="2" t="s">
        <v>133</v>
      </c>
      <c r="N47" s="2" t="s">
        <v>133</v>
      </c>
      <c r="O47" s="2" t="s">
        <v>133</v>
      </c>
      <c r="P47" s="2" t="s">
        <v>133</v>
      </c>
      <c r="Q47" s="2" t="s">
        <v>133</v>
      </c>
      <c r="R47" s="2" t="s">
        <v>133</v>
      </c>
      <c r="S47" s="2" t="s">
        <v>133</v>
      </c>
      <c r="T47" s="7" t="s">
        <v>133</v>
      </c>
      <c r="U47" s="20">
        <f>$U$5-V47</f>
        <v>18</v>
      </c>
      <c r="V47" s="3">
        <f>COUNTIF(W47:AB47,"×")*3</f>
        <v>0</v>
      </c>
      <c r="W47" s="2" t="s">
        <v>288</v>
      </c>
      <c r="X47" s="2" t="s">
        <v>288</v>
      </c>
      <c r="Y47" s="2" t="s">
        <v>288</v>
      </c>
      <c r="Z47" s="2" t="s">
        <v>288</v>
      </c>
      <c r="AA47" s="2" t="s">
        <v>288</v>
      </c>
      <c r="AB47" s="7" t="s">
        <v>288</v>
      </c>
      <c r="AC47" s="20">
        <f>$AC$5-AD47</f>
        <v>0</v>
      </c>
      <c r="AD47" s="3">
        <f>COUNTIF(AE47:AK47,"×")*2</f>
        <v>14</v>
      </c>
      <c r="AE47" s="2" t="s">
        <v>289</v>
      </c>
      <c r="AF47" s="2" t="s">
        <v>289</v>
      </c>
      <c r="AG47" s="2" t="s">
        <v>289</v>
      </c>
      <c r="AH47" s="2" t="s">
        <v>289</v>
      </c>
      <c r="AI47" s="2" t="s">
        <v>289</v>
      </c>
      <c r="AJ47" s="2" t="s">
        <v>289</v>
      </c>
      <c r="AK47" s="7" t="s">
        <v>289</v>
      </c>
      <c r="AL47" s="20">
        <f>$AL$5-AM47</f>
        <v>0</v>
      </c>
      <c r="AM47" s="3">
        <f>COUNTIF(AN47:AT47,"×")*3</f>
        <v>21</v>
      </c>
      <c r="AN47" s="2" t="s">
        <v>115</v>
      </c>
      <c r="AO47" s="2" t="s">
        <v>115</v>
      </c>
      <c r="AP47" s="2" t="s">
        <v>115</v>
      </c>
      <c r="AQ47" s="2" t="s">
        <v>115</v>
      </c>
      <c r="AR47" s="2" t="s">
        <v>115</v>
      </c>
      <c r="AS47" s="2" t="s">
        <v>115</v>
      </c>
      <c r="AT47" s="7" t="s">
        <v>115</v>
      </c>
      <c r="AU47" s="1">
        <f t="shared" si="9"/>
        <v>50</v>
      </c>
    </row>
    <row r="48" spans="1:47" x14ac:dyDescent="0.4">
      <c r="A48" s="56">
        <v>21083</v>
      </c>
      <c r="B48" s="3" t="s">
        <v>293</v>
      </c>
      <c r="C48" s="12">
        <f>SUM(E48,U48,AC48,AL48,$D$5)</f>
        <v>100</v>
      </c>
      <c r="D48" s="17">
        <v>1</v>
      </c>
      <c r="E48" s="15">
        <f>$E$5-F48</f>
        <v>42</v>
      </c>
      <c r="F48" s="3">
        <f>COUNTIF(G48:T48,"×")*3</f>
        <v>0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"/>
      <c r="U48" s="20">
        <f>$U$5-V48</f>
        <v>18</v>
      </c>
      <c r="V48" s="3">
        <f>COUNTIF(W48:AB48,"×")*3</f>
        <v>0</v>
      </c>
      <c r="W48" s="2"/>
      <c r="X48" s="2"/>
      <c r="Y48" s="2"/>
      <c r="Z48" s="2"/>
      <c r="AA48" s="2"/>
      <c r="AB48" s="7"/>
      <c r="AC48" s="20">
        <f>$AC$5-AD48</f>
        <v>14</v>
      </c>
      <c r="AD48" s="3">
        <f>COUNTIF(AE48:AK48,"×")*2</f>
        <v>0</v>
      </c>
      <c r="AE48" s="2"/>
      <c r="AF48" s="2"/>
      <c r="AG48" s="2"/>
      <c r="AH48" s="2"/>
      <c r="AI48" s="2"/>
      <c r="AJ48" s="2"/>
      <c r="AK48" s="7"/>
      <c r="AL48" s="20">
        <f>$AL$5-AM48</f>
        <v>21</v>
      </c>
      <c r="AM48" s="3">
        <f>COUNTIF(AN48:AT48,"×")*3</f>
        <v>0</v>
      </c>
      <c r="AN48" s="2"/>
      <c r="AO48" s="2"/>
      <c r="AP48" s="2"/>
      <c r="AQ48" s="2"/>
      <c r="AR48" s="2"/>
      <c r="AS48" s="2"/>
      <c r="AT48" s="7"/>
    </row>
    <row r="49" spans="1:46" x14ac:dyDescent="0.4">
      <c r="A49" s="56">
        <v>22001</v>
      </c>
      <c r="B49" s="3" t="s">
        <v>294</v>
      </c>
      <c r="C49" s="12">
        <f>SUM(E49,U49,AC49,AL49,$D$5)</f>
        <v>100</v>
      </c>
      <c r="D49" s="17">
        <v>1</v>
      </c>
      <c r="E49" s="15">
        <f>$E$5-F49</f>
        <v>42</v>
      </c>
      <c r="F49" s="3">
        <f>COUNTIF(G49:T49,"×")*3</f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>$U$5-V49</f>
        <v>18</v>
      </c>
      <c r="V49" s="3">
        <f>COUNTIF(W49:AB49,"×")*3</f>
        <v>0</v>
      </c>
      <c r="W49" s="2"/>
      <c r="X49" s="2"/>
      <c r="Y49" s="2"/>
      <c r="Z49" s="2"/>
      <c r="AA49" s="2"/>
      <c r="AB49" s="7"/>
      <c r="AC49" s="20">
        <f>$AC$5-AD49</f>
        <v>14</v>
      </c>
      <c r="AD49" s="3">
        <f>COUNTIF(AE49:AK49,"×")*2</f>
        <v>0</v>
      </c>
      <c r="AE49" s="2"/>
      <c r="AF49" s="2"/>
      <c r="AG49" s="2"/>
      <c r="AH49" s="2"/>
      <c r="AI49" s="2"/>
      <c r="AJ49" s="2"/>
      <c r="AK49" s="7"/>
      <c r="AL49" s="20">
        <f>$AL$5-AM49</f>
        <v>21</v>
      </c>
      <c r="AM49" s="3">
        <f>COUNTIF(AN49:AT49,"×")*3</f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6">
        <v>22004</v>
      </c>
      <c r="B50" s="3" t="s">
        <v>295</v>
      </c>
      <c r="C50" s="12">
        <f>SUM(E50,U50,AC50,AL50,$D$5)</f>
        <v>61</v>
      </c>
      <c r="D50" s="17">
        <v>1</v>
      </c>
      <c r="E50" s="15">
        <f>$E$5-F50</f>
        <v>36</v>
      </c>
      <c r="F50" s="3">
        <f>COUNTIF(G50:T50,"×")*3</f>
        <v>6</v>
      </c>
      <c r="G50" s="2" t="s">
        <v>188</v>
      </c>
      <c r="H50" s="2" t="s">
        <v>188</v>
      </c>
      <c r="I50" s="2" t="s">
        <v>188</v>
      </c>
      <c r="J50" s="2" t="s">
        <v>133</v>
      </c>
      <c r="K50" s="2" t="s">
        <v>188</v>
      </c>
      <c r="L50" s="2" t="s">
        <v>188</v>
      </c>
      <c r="M50" s="2" t="s">
        <v>188</v>
      </c>
      <c r="N50" s="2" t="s">
        <v>188</v>
      </c>
      <c r="O50" s="2" t="s">
        <v>188</v>
      </c>
      <c r="P50" s="2" t="s">
        <v>188</v>
      </c>
      <c r="Q50" s="2" t="s">
        <v>188</v>
      </c>
      <c r="R50" s="2" t="s">
        <v>188</v>
      </c>
      <c r="S50" s="2" t="s">
        <v>133</v>
      </c>
      <c r="T50" s="7" t="s">
        <v>188</v>
      </c>
      <c r="U50" s="20">
        <f>$U$5-V50</f>
        <v>12</v>
      </c>
      <c r="V50" s="3">
        <f>COUNTIF(W50:AB50,"×")*3</f>
        <v>6</v>
      </c>
      <c r="W50" s="2" t="s">
        <v>190</v>
      </c>
      <c r="X50" s="2" t="s">
        <v>190</v>
      </c>
      <c r="Y50" s="2" t="s">
        <v>190</v>
      </c>
      <c r="Z50" s="2" t="s">
        <v>115</v>
      </c>
      <c r="AA50" s="2" t="s">
        <v>133</v>
      </c>
      <c r="AB50" s="7" t="s">
        <v>188</v>
      </c>
      <c r="AC50" s="20">
        <f>$AC$5-AD50</f>
        <v>8</v>
      </c>
      <c r="AD50" s="3">
        <f>COUNTIF(AE50:AK50,"×")*2</f>
        <v>6</v>
      </c>
      <c r="AE50" s="2" t="s">
        <v>190</v>
      </c>
      <c r="AF50" s="2" t="s">
        <v>190</v>
      </c>
      <c r="AG50" s="2" t="s">
        <v>133</v>
      </c>
      <c r="AH50" s="2" t="s">
        <v>115</v>
      </c>
      <c r="AI50" s="2" t="s">
        <v>115</v>
      </c>
      <c r="AJ50" s="2" t="s">
        <v>188</v>
      </c>
      <c r="AK50" s="7" t="s">
        <v>188</v>
      </c>
      <c r="AL50" s="20">
        <f>$AL$5-AM50</f>
        <v>0</v>
      </c>
      <c r="AM50" s="3">
        <f>COUNTIF(AN50:AT50,"×")*3</f>
        <v>21</v>
      </c>
      <c r="AN50" s="2" t="s">
        <v>115</v>
      </c>
      <c r="AO50" s="2" t="s">
        <v>115</v>
      </c>
      <c r="AP50" s="2" t="s">
        <v>115</v>
      </c>
      <c r="AQ50" s="2" t="s">
        <v>115</v>
      </c>
      <c r="AR50" s="2" t="s">
        <v>115</v>
      </c>
      <c r="AS50" s="2" t="s">
        <v>115</v>
      </c>
      <c r="AT50" s="7" t="s">
        <v>115</v>
      </c>
    </row>
    <row r="51" spans="1:46" x14ac:dyDescent="0.4">
      <c r="A51" s="56">
        <v>22005</v>
      </c>
      <c r="B51" s="3" t="s">
        <v>296</v>
      </c>
      <c r="C51" s="12">
        <f>SUM(E51,U51,AC51,AL51,$D$5)</f>
        <v>67</v>
      </c>
      <c r="D51" s="17">
        <v>1</v>
      </c>
      <c r="E51" s="15">
        <f>$E$5-F51</f>
        <v>9</v>
      </c>
      <c r="F51" s="3">
        <f>COUNTIF(G51:T51,"×")*3</f>
        <v>33</v>
      </c>
      <c r="G51" s="2" t="s">
        <v>188</v>
      </c>
      <c r="H51" s="2" t="s">
        <v>133</v>
      </c>
      <c r="I51" s="2" t="s">
        <v>133</v>
      </c>
      <c r="J51" s="2" t="s">
        <v>133</v>
      </c>
      <c r="K51" s="2" t="s">
        <v>133</v>
      </c>
      <c r="L51" s="2" t="s">
        <v>133</v>
      </c>
      <c r="M51" s="2" t="s">
        <v>188</v>
      </c>
      <c r="N51" s="2" t="s">
        <v>133</v>
      </c>
      <c r="O51" s="2" t="s">
        <v>133</v>
      </c>
      <c r="P51" s="2" t="s">
        <v>133</v>
      </c>
      <c r="Q51" s="2" t="s">
        <v>133</v>
      </c>
      <c r="R51" s="2" t="s">
        <v>188</v>
      </c>
      <c r="S51" s="2" t="s">
        <v>133</v>
      </c>
      <c r="T51" s="7" t="s">
        <v>133</v>
      </c>
      <c r="U51" s="20">
        <f>$U$5-V51</f>
        <v>18</v>
      </c>
      <c r="V51" s="3">
        <f>COUNTIF(W51:AB51,"×")*3</f>
        <v>0</v>
      </c>
      <c r="W51" s="2"/>
      <c r="X51" s="2"/>
      <c r="Y51" s="2"/>
      <c r="Z51" s="2"/>
      <c r="AA51" s="2"/>
      <c r="AB51" s="7"/>
      <c r="AC51" s="20">
        <f>$AC$5-AD51</f>
        <v>14</v>
      </c>
      <c r="AD51" s="3">
        <f>COUNTIF(AE51:AK51,"×")*2</f>
        <v>0</v>
      </c>
      <c r="AE51" s="2"/>
      <c r="AF51" s="2"/>
      <c r="AG51" s="2"/>
      <c r="AH51" s="2"/>
      <c r="AI51" s="2"/>
      <c r="AJ51" s="2"/>
      <c r="AK51" s="7"/>
      <c r="AL51" s="20">
        <f>$AL$5-AM51</f>
        <v>21</v>
      </c>
      <c r="AM51" s="3">
        <f>COUNTIF(AN51:AT51,"×")*3</f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6">
        <v>22006</v>
      </c>
      <c r="B52" s="3" t="s">
        <v>311</v>
      </c>
      <c r="C52" s="12">
        <f>SUM(E52,U52,AC52,AL52,$D$5)</f>
        <v>26</v>
      </c>
      <c r="D52" s="17">
        <v>1</v>
      </c>
      <c r="E52" s="15">
        <f>$E$5-F52</f>
        <v>6</v>
      </c>
      <c r="F52" s="3">
        <f>COUNTIF(G52:T52,"×")*3</f>
        <v>36</v>
      </c>
      <c r="G52" s="2" t="s">
        <v>133</v>
      </c>
      <c r="H52" s="2" t="s">
        <v>133</v>
      </c>
      <c r="I52" s="2" t="s">
        <v>133</v>
      </c>
      <c r="J52" s="2" t="s">
        <v>133</v>
      </c>
      <c r="K52" s="2" t="s">
        <v>133</v>
      </c>
      <c r="L52" s="2" t="s">
        <v>133</v>
      </c>
      <c r="M52" s="2" t="s">
        <v>133</v>
      </c>
      <c r="N52" s="2" t="s">
        <v>133</v>
      </c>
      <c r="O52" s="2" t="s">
        <v>133</v>
      </c>
      <c r="P52" s="2" t="s">
        <v>133</v>
      </c>
      <c r="Q52" s="2" t="s">
        <v>133</v>
      </c>
      <c r="R52" s="2" t="s">
        <v>188</v>
      </c>
      <c r="S52" s="2" t="s">
        <v>133</v>
      </c>
      <c r="T52" s="7" t="s">
        <v>188</v>
      </c>
      <c r="U52" s="20">
        <f>$U$5-V52</f>
        <v>15</v>
      </c>
      <c r="V52" s="3">
        <f>COUNTIF(W52:AB52,"×")*3</f>
        <v>3</v>
      </c>
      <c r="W52" s="2" t="s">
        <v>190</v>
      </c>
      <c r="X52" s="2" t="s">
        <v>190</v>
      </c>
      <c r="Y52" s="2" t="s">
        <v>190</v>
      </c>
      <c r="Z52" s="2" t="s">
        <v>115</v>
      </c>
      <c r="AA52" s="2" t="s">
        <v>190</v>
      </c>
      <c r="AB52" s="7" t="s">
        <v>190</v>
      </c>
      <c r="AC52" s="20">
        <f>$AC$5-AD52</f>
        <v>0</v>
      </c>
      <c r="AD52" s="3">
        <f>COUNTIF(AE52:AK52,"×")*2</f>
        <v>14</v>
      </c>
      <c r="AE52" s="2" t="s">
        <v>115</v>
      </c>
      <c r="AF52" s="2" t="s">
        <v>115</v>
      </c>
      <c r="AG52" s="2" t="s">
        <v>115</v>
      </c>
      <c r="AH52" s="2" t="s">
        <v>115</v>
      </c>
      <c r="AI52" s="2" t="s">
        <v>115</v>
      </c>
      <c r="AJ52" s="2" t="s">
        <v>115</v>
      </c>
      <c r="AK52" s="7" t="s">
        <v>115</v>
      </c>
      <c r="AL52" s="20">
        <f>$AL$5-AM52</f>
        <v>0</v>
      </c>
      <c r="AM52" s="3">
        <f>COUNTIF(AN52:AT52,"×")*3</f>
        <v>21</v>
      </c>
      <c r="AN52" s="2" t="s">
        <v>115</v>
      </c>
      <c r="AO52" s="2" t="s">
        <v>115</v>
      </c>
      <c r="AP52" s="2" t="s">
        <v>115</v>
      </c>
      <c r="AQ52" s="2" t="s">
        <v>115</v>
      </c>
      <c r="AR52" s="2" t="s">
        <v>115</v>
      </c>
      <c r="AS52" s="2" t="s">
        <v>115</v>
      </c>
      <c r="AT52" s="7" t="s">
        <v>115</v>
      </c>
    </row>
    <row r="53" spans="1:46" x14ac:dyDescent="0.4">
      <c r="A53" s="56">
        <v>22011</v>
      </c>
      <c r="B53" s="3" t="s">
        <v>297</v>
      </c>
      <c r="C53" s="12">
        <f>SUM(E53,U53,AC53,AL53,$D$5)</f>
        <v>70</v>
      </c>
      <c r="D53" s="17">
        <v>1</v>
      </c>
      <c r="E53" s="15">
        <f>$E$5-F53</f>
        <v>21</v>
      </c>
      <c r="F53" s="3">
        <f>COUNTIF(G53:T53,"×")*3</f>
        <v>21</v>
      </c>
      <c r="G53" s="2" t="s">
        <v>133</v>
      </c>
      <c r="H53" s="2" t="s">
        <v>133</v>
      </c>
      <c r="I53" s="2" t="s">
        <v>133</v>
      </c>
      <c r="J53" s="2" t="s">
        <v>133</v>
      </c>
      <c r="K53" s="2" t="s">
        <v>133</v>
      </c>
      <c r="L53" s="2" t="s">
        <v>133</v>
      </c>
      <c r="M53" s="2" t="s">
        <v>188</v>
      </c>
      <c r="N53" s="2" t="s">
        <v>188</v>
      </c>
      <c r="O53" s="2" t="s">
        <v>188</v>
      </c>
      <c r="P53" s="2" t="s">
        <v>188</v>
      </c>
      <c r="Q53" s="2" t="s">
        <v>188</v>
      </c>
      <c r="R53" s="2" t="s">
        <v>188</v>
      </c>
      <c r="S53" s="2" t="s">
        <v>133</v>
      </c>
      <c r="T53" s="7" t="s">
        <v>188</v>
      </c>
      <c r="U53" s="20">
        <f>$U$5-V53</f>
        <v>18</v>
      </c>
      <c r="V53" s="3">
        <f>COUNTIF(W53:AB53,"×")*3</f>
        <v>0</v>
      </c>
      <c r="W53" s="2" t="s">
        <v>190</v>
      </c>
      <c r="X53" s="2" t="s">
        <v>190</v>
      </c>
      <c r="Y53" s="2" t="s">
        <v>190</v>
      </c>
      <c r="Z53" s="2" t="s">
        <v>190</v>
      </c>
      <c r="AA53" s="2" t="s">
        <v>190</v>
      </c>
      <c r="AB53" s="7" t="s">
        <v>190</v>
      </c>
      <c r="AC53" s="20">
        <f>$AC$5-AD53</f>
        <v>14</v>
      </c>
      <c r="AD53" s="3">
        <f>COUNTIF(AE53:AK53,"×")*2</f>
        <v>0</v>
      </c>
      <c r="AE53" s="2" t="s">
        <v>190</v>
      </c>
      <c r="AF53" s="2" t="s">
        <v>190</v>
      </c>
      <c r="AG53" s="2" t="s">
        <v>190</v>
      </c>
      <c r="AH53" s="2" t="s">
        <v>190</v>
      </c>
      <c r="AI53" s="2" t="s">
        <v>190</v>
      </c>
      <c r="AJ53" s="2" t="s">
        <v>190</v>
      </c>
      <c r="AK53" s="7" t="s">
        <v>190</v>
      </c>
      <c r="AL53" s="20">
        <f>$AL$5-AM53</f>
        <v>12</v>
      </c>
      <c r="AM53" s="3">
        <f>COUNTIF(AN53:AT53,"×")*3</f>
        <v>9</v>
      </c>
      <c r="AN53" s="2" t="s">
        <v>190</v>
      </c>
      <c r="AO53" s="2" t="s">
        <v>190</v>
      </c>
      <c r="AP53" s="2" t="s">
        <v>133</v>
      </c>
      <c r="AQ53" s="2" t="s">
        <v>190</v>
      </c>
      <c r="AR53" s="2" t="s">
        <v>115</v>
      </c>
      <c r="AS53" s="2" t="s">
        <v>190</v>
      </c>
      <c r="AT53" s="7" t="s">
        <v>115</v>
      </c>
    </row>
    <row r="54" spans="1:46" x14ac:dyDescent="0.4">
      <c r="A54" s="56">
        <v>22012</v>
      </c>
      <c r="B54" s="3" t="s">
        <v>312</v>
      </c>
      <c r="C54" s="12">
        <f>SUM(E54,U54,AC54,AL54,$D$5)</f>
        <v>88</v>
      </c>
      <c r="D54" s="17">
        <v>1</v>
      </c>
      <c r="E54" s="15">
        <f>$E$5-F54</f>
        <v>39</v>
      </c>
      <c r="F54" s="3">
        <f>COUNTIF(G54:T54,"×")*3</f>
        <v>3</v>
      </c>
      <c r="G54" s="2" t="s">
        <v>188</v>
      </c>
      <c r="H54" s="2" t="s">
        <v>188</v>
      </c>
      <c r="I54" s="2" t="s">
        <v>188</v>
      </c>
      <c r="J54" s="2" t="s">
        <v>188</v>
      </c>
      <c r="K54" s="2" t="s">
        <v>188</v>
      </c>
      <c r="L54" s="2" t="s">
        <v>188</v>
      </c>
      <c r="M54" s="2" t="s">
        <v>188</v>
      </c>
      <c r="N54" s="2" t="s">
        <v>188</v>
      </c>
      <c r="O54" s="2" t="s">
        <v>188</v>
      </c>
      <c r="P54" s="2" t="s">
        <v>188</v>
      </c>
      <c r="Q54" s="2" t="s">
        <v>188</v>
      </c>
      <c r="R54" s="2" t="s">
        <v>188</v>
      </c>
      <c r="S54" s="2" t="s">
        <v>133</v>
      </c>
      <c r="T54" s="7" t="s">
        <v>188</v>
      </c>
      <c r="U54" s="20">
        <f>$U$5-V54</f>
        <v>15</v>
      </c>
      <c r="V54" s="3">
        <f>COUNTIF(W54:AB54,"×")*3</f>
        <v>3</v>
      </c>
      <c r="W54" s="2" t="s">
        <v>190</v>
      </c>
      <c r="X54" s="2" t="s">
        <v>190</v>
      </c>
      <c r="Y54" s="2" t="s">
        <v>190</v>
      </c>
      <c r="Z54" s="2" t="s">
        <v>190</v>
      </c>
      <c r="AA54" s="2" t="s">
        <v>190</v>
      </c>
      <c r="AB54" s="7" t="s">
        <v>115</v>
      </c>
      <c r="AC54" s="20">
        <f>$AC$5-AD54</f>
        <v>14</v>
      </c>
      <c r="AD54" s="3">
        <f>COUNTIF(AE54:AK54,"×")*2</f>
        <v>0</v>
      </c>
      <c r="AE54" s="2" t="s">
        <v>190</v>
      </c>
      <c r="AF54" s="2" t="s">
        <v>190</v>
      </c>
      <c r="AG54" s="2" t="s">
        <v>190</v>
      </c>
      <c r="AH54" s="2" t="s">
        <v>190</v>
      </c>
      <c r="AI54" s="2" t="s">
        <v>190</v>
      </c>
      <c r="AJ54" s="2" t="s">
        <v>190</v>
      </c>
      <c r="AK54" s="7" t="s">
        <v>190</v>
      </c>
      <c r="AL54" s="20">
        <f>$AL$5-AM54</f>
        <v>15</v>
      </c>
      <c r="AM54" s="3">
        <f>COUNTIF(AN54:AT54,"×")*3</f>
        <v>6</v>
      </c>
      <c r="AN54" s="2" t="s">
        <v>115</v>
      </c>
      <c r="AO54" s="2" t="s">
        <v>190</v>
      </c>
      <c r="AP54" s="2" t="s">
        <v>133</v>
      </c>
      <c r="AQ54" s="2" t="s">
        <v>190</v>
      </c>
      <c r="AR54" s="2" t="s">
        <v>190</v>
      </c>
      <c r="AS54" s="2" t="s">
        <v>190</v>
      </c>
      <c r="AT54" s="7" t="s">
        <v>190</v>
      </c>
    </row>
    <row r="55" spans="1:46" x14ac:dyDescent="0.4">
      <c r="A55" s="56">
        <v>22024</v>
      </c>
      <c r="B55" s="3" t="s">
        <v>298</v>
      </c>
      <c r="C55" s="12">
        <f>SUM(E55,U55,AC55,AL55,$D$5)</f>
        <v>100</v>
      </c>
      <c r="D55" s="17">
        <v>1</v>
      </c>
      <c r="E55" s="15">
        <f>$E$5-F55</f>
        <v>42</v>
      </c>
      <c r="F55" s="3">
        <f>COUNTIF(G55:T55,"×")*3</f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>$U$5-V55</f>
        <v>18</v>
      </c>
      <c r="V55" s="3">
        <f>COUNTIF(W55:AB55,"×")*3</f>
        <v>0</v>
      </c>
      <c r="W55" s="2"/>
      <c r="X55" s="2"/>
      <c r="Y55" s="2"/>
      <c r="Z55" s="2"/>
      <c r="AA55" s="2"/>
      <c r="AB55" s="7"/>
      <c r="AC55" s="20">
        <f>$AC$5-AD55</f>
        <v>14</v>
      </c>
      <c r="AD55" s="3">
        <f>COUNTIF(AE55:AK55,"×")*2</f>
        <v>0</v>
      </c>
      <c r="AE55" s="2"/>
      <c r="AF55" s="2"/>
      <c r="AG55" s="2"/>
      <c r="AH55" s="2"/>
      <c r="AI55" s="2"/>
      <c r="AJ55" s="2"/>
      <c r="AK55" s="7"/>
      <c r="AL55" s="20">
        <f>$AL$5-AM55</f>
        <v>21</v>
      </c>
      <c r="AM55" s="3">
        <f>COUNTIF(AN55:AT55,"×")*3</f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6">
        <v>22025</v>
      </c>
      <c r="B56" s="3" t="s">
        <v>299</v>
      </c>
      <c r="C56" s="12">
        <f>SUM(E56,U56,AC56,AL56,$D$5)</f>
        <v>61</v>
      </c>
      <c r="D56" s="17">
        <v>1</v>
      </c>
      <c r="E56" s="15">
        <f>$E$5-F56</f>
        <v>24</v>
      </c>
      <c r="F56" s="3">
        <f>COUNTIF(G56:T56,"×")*3</f>
        <v>18</v>
      </c>
      <c r="G56" s="2" t="s">
        <v>188</v>
      </c>
      <c r="H56" s="2" t="s">
        <v>133</v>
      </c>
      <c r="I56" s="2" t="s">
        <v>133</v>
      </c>
      <c r="J56" s="2" t="s">
        <v>133</v>
      </c>
      <c r="K56" s="2" t="s">
        <v>188</v>
      </c>
      <c r="L56" s="2" t="s">
        <v>188</v>
      </c>
      <c r="M56" s="2" t="s">
        <v>133</v>
      </c>
      <c r="N56" s="2" t="s">
        <v>188</v>
      </c>
      <c r="O56" s="2" t="s">
        <v>188</v>
      </c>
      <c r="P56" s="2" t="s">
        <v>188</v>
      </c>
      <c r="Q56" s="2" t="s">
        <v>188</v>
      </c>
      <c r="R56" s="2" t="s">
        <v>188</v>
      </c>
      <c r="S56" s="2" t="s">
        <v>133</v>
      </c>
      <c r="T56" s="7" t="s">
        <v>133</v>
      </c>
      <c r="U56" s="20">
        <f>$U$5-V56</f>
        <v>18</v>
      </c>
      <c r="V56" s="3">
        <f>COUNTIF(W56:AB56,"×")*3</f>
        <v>0</v>
      </c>
      <c r="W56" s="2" t="s">
        <v>190</v>
      </c>
      <c r="X56" s="2" t="s">
        <v>190</v>
      </c>
      <c r="Y56" s="2" t="s">
        <v>190</v>
      </c>
      <c r="Z56" s="2" t="s">
        <v>190</v>
      </c>
      <c r="AA56" s="2" t="s">
        <v>190</v>
      </c>
      <c r="AB56" s="7" t="s">
        <v>190</v>
      </c>
      <c r="AC56" s="20">
        <f>$AC$5-AD56</f>
        <v>14</v>
      </c>
      <c r="AD56" s="3">
        <f>COUNTIF(AE56:AK56,"×")*2</f>
        <v>0</v>
      </c>
      <c r="AE56" s="2" t="s">
        <v>190</v>
      </c>
      <c r="AF56" s="2" t="s">
        <v>190</v>
      </c>
      <c r="AG56" s="2" t="s">
        <v>190</v>
      </c>
      <c r="AH56" s="2" t="s">
        <v>190</v>
      </c>
      <c r="AI56" s="2" t="s">
        <v>190</v>
      </c>
      <c r="AJ56" s="2" t="s">
        <v>190</v>
      </c>
      <c r="AK56" s="7" t="s">
        <v>190</v>
      </c>
      <c r="AL56" s="20">
        <f>$AL$5-AM56</f>
        <v>0</v>
      </c>
      <c r="AM56" s="3">
        <f>COUNTIF(AN56:AT56,"×")*3</f>
        <v>21</v>
      </c>
      <c r="AN56" s="2" t="s">
        <v>115</v>
      </c>
      <c r="AO56" s="2" t="s">
        <v>115</v>
      </c>
      <c r="AP56" s="2" t="s">
        <v>115</v>
      </c>
      <c r="AQ56" s="2" t="s">
        <v>115</v>
      </c>
      <c r="AR56" s="2" t="s">
        <v>115</v>
      </c>
      <c r="AS56" s="2" t="s">
        <v>115</v>
      </c>
      <c r="AT56" s="7" t="s">
        <v>115</v>
      </c>
    </row>
    <row r="57" spans="1:46" x14ac:dyDescent="0.4">
      <c r="A57" s="56">
        <v>22026</v>
      </c>
      <c r="B57" s="3" t="s">
        <v>300</v>
      </c>
      <c r="C57" s="12">
        <f>SUM(E57,U57,AC57,AL57,$D$5)</f>
        <v>97</v>
      </c>
      <c r="D57" s="17">
        <v>1</v>
      </c>
      <c r="E57" s="15">
        <f>$E$5-F57</f>
        <v>39</v>
      </c>
      <c r="F57" s="3">
        <f>COUNTIF(G57:T57,"×")*3</f>
        <v>3</v>
      </c>
      <c r="G57" s="2" t="s">
        <v>188</v>
      </c>
      <c r="H57" s="2" t="s">
        <v>188</v>
      </c>
      <c r="I57" s="2" t="s">
        <v>188</v>
      </c>
      <c r="J57" s="2" t="s">
        <v>188</v>
      </c>
      <c r="K57" s="2" t="s">
        <v>188</v>
      </c>
      <c r="L57" s="2" t="s">
        <v>188</v>
      </c>
      <c r="M57" s="2" t="s">
        <v>188</v>
      </c>
      <c r="N57" s="2" t="s">
        <v>188</v>
      </c>
      <c r="O57" s="2" t="s">
        <v>188</v>
      </c>
      <c r="P57" s="2" t="s">
        <v>188</v>
      </c>
      <c r="Q57" s="2" t="s">
        <v>188</v>
      </c>
      <c r="R57" s="2" t="s">
        <v>188</v>
      </c>
      <c r="S57" s="2" t="s">
        <v>133</v>
      </c>
      <c r="T57" s="7" t="s">
        <v>188</v>
      </c>
      <c r="U57" s="20">
        <f>$U$5-V57</f>
        <v>18</v>
      </c>
      <c r="V57" s="3">
        <f>COUNTIF(W57:AB57,"×")*3</f>
        <v>0</v>
      </c>
      <c r="W57" s="2" t="s">
        <v>190</v>
      </c>
      <c r="X57" s="2" t="s">
        <v>190</v>
      </c>
      <c r="Y57" s="2" t="s">
        <v>190</v>
      </c>
      <c r="Z57" s="2" t="s">
        <v>190</v>
      </c>
      <c r="AA57" s="2" t="s">
        <v>190</v>
      </c>
      <c r="AB57" s="7" t="s">
        <v>190</v>
      </c>
      <c r="AC57" s="20">
        <f>$AC$5-AD57</f>
        <v>14</v>
      </c>
      <c r="AD57" s="3">
        <f>COUNTIF(AE57:AK57,"×")*2</f>
        <v>0</v>
      </c>
      <c r="AE57" s="2" t="s">
        <v>190</v>
      </c>
      <c r="AF57" s="2" t="s">
        <v>190</v>
      </c>
      <c r="AG57" s="2" t="s">
        <v>190</v>
      </c>
      <c r="AH57" s="2" t="s">
        <v>190</v>
      </c>
      <c r="AI57" s="2" t="s">
        <v>190</v>
      </c>
      <c r="AJ57" s="2" t="s">
        <v>190</v>
      </c>
      <c r="AK57" s="7" t="s">
        <v>190</v>
      </c>
      <c r="AL57" s="20">
        <f>$AL$5-AM57</f>
        <v>21</v>
      </c>
      <c r="AM57" s="3">
        <f>COUNTIF(AN57:AT57,"×")*3</f>
        <v>0</v>
      </c>
      <c r="AN57" s="2" t="s">
        <v>190</v>
      </c>
      <c r="AO57" s="2" t="s">
        <v>190</v>
      </c>
      <c r="AP57" s="2" t="s">
        <v>190</v>
      </c>
      <c r="AQ57" s="2" t="s">
        <v>190</v>
      </c>
      <c r="AR57" s="2" t="s">
        <v>190</v>
      </c>
      <c r="AS57" s="2" t="s">
        <v>190</v>
      </c>
      <c r="AT57" s="7" t="s">
        <v>190</v>
      </c>
    </row>
    <row r="58" spans="1:46" x14ac:dyDescent="0.4">
      <c r="A58" s="56">
        <v>22027</v>
      </c>
      <c r="B58" s="3" t="s">
        <v>301</v>
      </c>
      <c r="C58" s="12">
        <f>SUM(E58,U58,AC58,AL58,$D$5)</f>
        <v>100</v>
      </c>
      <c r="D58" s="17">
        <v>1</v>
      </c>
      <c r="E58" s="15">
        <f>$E$5-F58</f>
        <v>42</v>
      </c>
      <c r="F58" s="3">
        <f>COUNTIF(G58:T58,"×")*3</f>
        <v>0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7"/>
      <c r="U58" s="20">
        <f>$U$5-V58</f>
        <v>18</v>
      </c>
      <c r="V58" s="3">
        <f>COUNTIF(W58:AB58,"×")*3</f>
        <v>0</v>
      </c>
      <c r="W58" s="2"/>
      <c r="X58" s="2"/>
      <c r="Y58" s="2"/>
      <c r="Z58" s="2"/>
      <c r="AA58" s="2"/>
      <c r="AB58" s="7"/>
      <c r="AC58" s="20">
        <f>$AC$5-AD58</f>
        <v>14</v>
      </c>
      <c r="AD58" s="3">
        <f>COUNTIF(AE58:AK58,"×")*2</f>
        <v>0</v>
      </c>
      <c r="AE58" s="2"/>
      <c r="AF58" s="2"/>
      <c r="AG58" s="2"/>
      <c r="AH58" s="2"/>
      <c r="AI58" s="2"/>
      <c r="AJ58" s="2"/>
      <c r="AK58" s="7"/>
      <c r="AL58" s="20">
        <f>$AL$5-AM58</f>
        <v>21</v>
      </c>
      <c r="AM58" s="3">
        <f>COUNTIF(AN58:AT58,"×")*3</f>
        <v>0</v>
      </c>
      <c r="AN58" s="2"/>
      <c r="AO58" s="2"/>
      <c r="AP58" s="2"/>
      <c r="AQ58" s="2"/>
      <c r="AR58" s="2"/>
      <c r="AS58" s="2"/>
      <c r="AT58" s="7"/>
    </row>
    <row r="59" spans="1:46" x14ac:dyDescent="0.4">
      <c r="A59" s="56">
        <v>22028</v>
      </c>
      <c r="B59" s="3" t="s">
        <v>302</v>
      </c>
      <c r="C59" s="12">
        <f>SUM(E59,U59,AC59,AL59,$D$5)</f>
        <v>79</v>
      </c>
      <c r="D59" s="17">
        <v>1</v>
      </c>
      <c r="E59" s="15">
        <f>$E$5-F59</f>
        <v>27</v>
      </c>
      <c r="F59" s="3">
        <f>COUNTIF(G59:T59,"×")*3</f>
        <v>15</v>
      </c>
      <c r="G59" s="2" t="s">
        <v>133</v>
      </c>
      <c r="H59" s="2" t="s">
        <v>188</v>
      </c>
      <c r="I59" s="2" t="s">
        <v>188</v>
      </c>
      <c r="J59" s="2" t="s">
        <v>133</v>
      </c>
      <c r="K59" s="2" t="s">
        <v>188</v>
      </c>
      <c r="L59" s="2" t="s">
        <v>188</v>
      </c>
      <c r="M59" s="2" t="s">
        <v>188</v>
      </c>
      <c r="N59" s="2" t="s">
        <v>133</v>
      </c>
      <c r="O59" s="2" t="s">
        <v>133</v>
      </c>
      <c r="P59" s="2" t="s">
        <v>188</v>
      </c>
      <c r="Q59" s="2" t="s">
        <v>188</v>
      </c>
      <c r="R59" s="2" t="s">
        <v>188</v>
      </c>
      <c r="S59" s="2" t="s">
        <v>133</v>
      </c>
      <c r="T59" s="7" t="s">
        <v>188</v>
      </c>
      <c r="U59" s="20">
        <f>$U$5-V59</f>
        <v>18</v>
      </c>
      <c r="V59" s="3">
        <f>COUNTIF(W59:AB59,"×")*3</f>
        <v>0</v>
      </c>
      <c r="W59" s="2" t="s">
        <v>190</v>
      </c>
      <c r="X59" s="2" t="s">
        <v>190</v>
      </c>
      <c r="Y59" s="2" t="s">
        <v>190</v>
      </c>
      <c r="Z59" s="2" t="s">
        <v>190</v>
      </c>
      <c r="AA59" s="2" t="s">
        <v>190</v>
      </c>
      <c r="AB59" s="7" t="s">
        <v>190</v>
      </c>
      <c r="AC59" s="20">
        <f>$AC$5-AD59</f>
        <v>14</v>
      </c>
      <c r="AD59" s="3">
        <f>COUNTIF(AE59:AK59,"×")*2</f>
        <v>0</v>
      </c>
      <c r="AE59" s="2" t="s">
        <v>190</v>
      </c>
      <c r="AF59" s="2" t="s">
        <v>190</v>
      </c>
      <c r="AG59" s="2" t="s">
        <v>190</v>
      </c>
      <c r="AH59" s="2" t="s">
        <v>190</v>
      </c>
      <c r="AI59" s="2" t="s">
        <v>190</v>
      </c>
      <c r="AJ59" s="2" t="s">
        <v>190</v>
      </c>
      <c r="AK59" s="7" t="s">
        <v>190</v>
      </c>
      <c r="AL59" s="20">
        <f>$AL$5-AM59</f>
        <v>15</v>
      </c>
      <c r="AM59" s="3">
        <f>COUNTIF(AN59:AT59,"×")*3</f>
        <v>6</v>
      </c>
      <c r="AN59" s="2" t="s">
        <v>115</v>
      </c>
      <c r="AO59" s="2" t="s">
        <v>190</v>
      </c>
      <c r="AP59" s="2" t="s">
        <v>115</v>
      </c>
      <c r="AQ59" s="2" t="s">
        <v>190</v>
      </c>
      <c r="AR59" s="2" t="s">
        <v>190</v>
      </c>
      <c r="AS59" s="2" t="s">
        <v>190</v>
      </c>
      <c r="AT59" s="7" t="s">
        <v>190</v>
      </c>
    </row>
    <row r="60" spans="1:46" x14ac:dyDescent="0.4">
      <c r="A60" s="56">
        <v>22034</v>
      </c>
      <c r="B60" s="3" t="s">
        <v>303</v>
      </c>
      <c r="C60" s="12">
        <f>SUM(E60,U60,AC60,AL60,$D$5)</f>
        <v>11</v>
      </c>
      <c r="D60" s="17">
        <v>1</v>
      </c>
      <c r="E60" s="15">
        <f>$E$5-F60</f>
        <v>6</v>
      </c>
      <c r="F60" s="3">
        <f>COUNTIF(G60:T60,"×")*3</f>
        <v>36</v>
      </c>
      <c r="G60" s="2" t="s">
        <v>188</v>
      </c>
      <c r="H60" s="2" t="s">
        <v>188</v>
      </c>
      <c r="I60" s="2" t="s">
        <v>133</v>
      </c>
      <c r="J60" s="2" t="s">
        <v>133</v>
      </c>
      <c r="K60" s="2" t="s">
        <v>133</v>
      </c>
      <c r="L60" s="2" t="s">
        <v>133</v>
      </c>
      <c r="M60" s="2" t="s">
        <v>133</v>
      </c>
      <c r="N60" s="2" t="s">
        <v>133</v>
      </c>
      <c r="O60" s="2" t="s">
        <v>133</v>
      </c>
      <c r="P60" s="2" t="s">
        <v>133</v>
      </c>
      <c r="Q60" s="2" t="s">
        <v>133</v>
      </c>
      <c r="R60" s="2" t="s">
        <v>133</v>
      </c>
      <c r="S60" s="2" t="s">
        <v>133</v>
      </c>
      <c r="T60" s="7" t="s">
        <v>133</v>
      </c>
      <c r="U60" s="20">
        <f>$U$5-V60</f>
        <v>0</v>
      </c>
      <c r="V60" s="3">
        <f>COUNTIF(W60:AB60,"×")*3</f>
        <v>18</v>
      </c>
      <c r="W60" s="2" t="s">
        <v>115</v>
      </c>
      <c r="X60" s="2" t="s">
        <v>115</v>
      </c>
      <c r="Y60" s="2" t="s">
        <v>115</v>
      </c>
      <c r="Z60" s="2" t="s">
        <v>115</v>
      </c>
      <c r="AA60" s="2" t="s">
        <v>115</v>
      </c>
      <c r="AB60" s="7" t="s">
        <v>115</v>
      </c>
      <c r="AC60" s="20">
        <f>$AC$5-AD60</f>
        <v>0</v>
      </c>
      <c r="AD60" s="3">
        <f>COUNTIF(AE60:AK60,"×")*2</f>
        <v>14</v>
      </c>
      <c r="AE60" s="2" t="s">
        <v>115</v>
      </c>
      <c r="AF60" s="2" t="s">
        <v>115</v>
      </c>
      <c r="AG60" s="2" t="s">
        <v>115</v>
      </c>
      <c r="AH60" s="2" t="s">
        <v>115</v>
      </c>
      <c r="AI60" s="2" t="s">
        <v>115</v>
      </c>
      <c r="AJ60" s="2" t="s">
        <v>115</v>
      </c>
      <c r="AK60" s="7" t="s">
        <v>115</v>
      </c>
      <c r="AL60" s="20">
        <f>$AL$5-AM60</f>
        <v>0</v>
      </c>
      <c r="AM60" s="3">
        <f>COUNTIF(AN60:AT60,"×")*3</f>
        <v>21</v>
      </c>
      <c r="AN60" s="2" t="s">
        <v>115</v>
      </c>
      <c r="AO60" s="2" t="s">
        <v>115</v>
      </c>
      <c r="AP60" s="2" t="s">
        <v>115</v>
      </c>
      <c r="AQ60" s="2" t="s">
        <v>115</v>
      </c>
      <c r="AR60" s="2" t="s">
        <v>115</v>
      </c>
      <c r="AS60" s="2" t="s">
        <v>115</v>
      </c>
      <c r="AT60" s="7" t="s">
        <v>115</v>
      </c>
    </row>
    <row r="61" spans="1:46" x14ac:dyDescent="0.4">
      <c r="A61" s="56">
        <v>22035</v>
      </c>
      <c r="B61" s="3" t="s">
        <v>313</v>
      </c>
      <c r="C61" s="12">
        <f>SUM(E61,U61,AC61,AL61,$D$5)</f>
        <v>55</v>
      </c>
      <c r="D61" s="17">
        <v>1</v>
      </c>
      <c r="E61" s="15">
        <f>$E$5-F61</f>
        <v>24</v>
      </c>
      <c r="F61" s="3">
        <f>COUNTIF(G61:T61,"×")*3</f>
        <v>18</v>
      </c>
      <c r="G61" s="2" t="s">
        <v>188</v>
      </c>
      <c r="H61" s="2" t="s">
        <v>188</v>
      </c>
      <c r="I61" s="2" t="s">
        <v>133</v>
      </c>
      <c r="J61" s="2" t="s">
        <v>133</v>
      </c>
      <c r="K61" s="2" t="s">
        <v>188</v>
      </c>
      <c r="L61" s="2" t="s">
        <v>188</v>
      </c>
      <c r="M61" s="2" t="s">
        <v>133</v>
      </c>
      <c r="N61" s="2" t="s">
        <v>133</v>
      </c>
      <c r="O61" s="2" t="s">
        <v>133</v>
      </c>
      <c r="P61" s="2" t="s">
        <v>188</v>
      </c>
      <c r="Q61" s="2" t="s">
        <v>188</v>
      </c>
      <c r="R61" s="2" t="s">
        <v>188</v>
      </c>
      <c r="S61" s="2" t="s">
        <v>133</v>
      </c>
      <c r="T61" s="7" t="s">
        <v>188</v>
      </c>
      <c r="U61" s="20">
        <f>$U$5-V61</f>
        <v>18</v>
      </c>
      <c r="V61" s="3">
        <f>COUNTIF(W61:AB61,"×")*3</f>
        <v>0</v>
      </c>
      <c r="W61" s="2" t="s">
        <v>190</v>
      </c>
      <c r="X61" s="2" t="s">
        <v>190</v>
      </c>
      <c r="Y61" s="2" t="s">
        <v>190</v>
      </c>
      <c r="Z61" s="2" t="s">
        <v>190</v>
      </c>
      <c r="AA61" s="2" t="s">
        <v>190</v>
      </c>
      <c r="AB61" s="7" t="s">
        <v>190</v>
      </c>
      <c r="AC61" s="20">
        <f>$AC$5-AD61</f>
        <v>8</v>
      </c>
      <c r="AD61" s="3">
        <f>COUNTIF(AE61:AK61,"×")*2</f>
        <v>6</v>
      </c>
      <c r="AE61" s="2" t="s">
        <v>190</v>
      </c>
      <c r="AF61" s="2" t="s">
        <v>190</v>
      </c>
      <c r="AG61" s="2" t="s">
        <v>190</v>
      </c>
      <c r="AH61" s="2" t="s">
        <v>190</v>
      </c>
      <c r="AI61" s="2" t="s">
        <v>115</v>
      </c>
      <c r="AJ61" s="2" t="s">
        <v>115</v>
      </c>
      <c r="AK61" s="7" t="s">
        <v>133</v>
      </c>
      <c r="AL61" s="20">
        <f>$AL$5-AM61</f>
        <v>0</v>
      </c>
      <c r="AM61" s="3">
        <f>COUNTIF(AN61:AT61,"×")*3</f>
        <v>21</v>
      </c>
      <c r="AN61" s="2" t="s">
        <v>115</v>
      </c>
      <c r="AO61" s="2" t="s">
        <v>115</v>
      </c>
      <c r="AP61" s="2" t="s">
        <v>115</v>
      </c>
      <c r="AQ61" s="2" t="s">
        <v>115</v>
      </c>
      <c r="AR61" s="2" t="s">
        <v>115</v>
      </c>
      <c r="AS61" s="2" t="s">
        <v>115</v>
      </c>
      <c r="AT61" s="7" t="s">
        <v>115</v>
      </c>
    </row>
    <row r="62" spans="1:46" x14ac:dyDescent="0.4">
      <c r="A62" s="56">
        <v>22036</v>
      </c>
      <c r="B62" s="3" t="s">
        <v>314</v>
      </c>
      <c r="C62" s="12">
        <f>SUM(E62,U62,AC62,AL62,$D$5)</f>
        <v>94</v>
      </c>
      <c r="D62" s="17">
        <v>1</v>
      </c>
      <c r="E62" s="15">
        <f>$E$5-F62</f>
        <v>39</v>
      </c>
      <c r="F62" s="3">
        <f>COUNTIF(G62:T62,"×")*3</f>
        <v>3</v>
      </c>
      <c r="G62" s="2" t="s">
        <v>188</v>
      </c>
      <c r="H62" s="2" t="s">
        <v>188</v>
      </c>
      <c r="I62" s="2" t="s">
        <v>188</v>
      </c>
      <c r="J62" s="2" t="s">
        <v>188</v>
      </c>
      <c r="K62" s="2" t="s">
        <v>188</v>
      </c>
      <c r="L62" s="2" t="s">
        <v>188</v>
      </c>
      <c r="M62" s="2" t="s">
        <v>188</v>
      </c>
      <c r="N62" s="2" t="s">
        <v>188</v>
      </c>
      <c r="O62" s="2" t="s">
        <v>188</v>
      </c>
      <c r="P62" s="2" t="s">
        <v>188</v>
      </c>
      <c r="Q62" s="2" t="s">
        <v>188</v>
      </c>
      <c r="R62" s="2" t="s">
        <v>188</v>
      </c>
      <c r="S62" s="2" t="s">
        <v>133</v>
      </c>
      <c r="T62" s="7" t="s">
        <v>188</v>
      </c>
      <c r="U62" s="20">
        <f>$U$5-V62</f>
        <v>18</v>
      </c>
      <c r="V62" s="3">
        <f>COUNTIF(W62:AB62,"×")*3</f>
        <v>0</v>
      </c>
      <c r="W62" s="2" t="s">
        <v>190</v>
      </c>
      <c r="X62" s="2" t="s">
        <v>190</v>
      </c>
      <c r="Y62" s="2" t="s">
        <v>190</v>
      </c>
      <c r="Z62" s="2" t="s">
        <v>190</v>
      </c>
      <c r="AA62" s="2" t="s">
        <v>190</v>
      </c>
      <c r="AB62" s="7" t="s">
        <v>190</v>
      </c>
      <c r="AC62" s="20">
        <f>$AC$5-AD62</f>
        <v>14</v>
      </c>
      <c r="AD62" s="3">
        <f>COUNTIF(AE62:AK62,"×")*2</f>
        <v>0</v>
      </c>
      <c r="AE62" s="2" t="s">
        <v>190</v>
      </c>
      <c r="AF62" s="2" t="s">
        <v>190</v>
      </c>
      <c r="AG62" s="2" t="s">
        <v>190</v>
      </c>
      <c r="AH62" s="2" t="s">
        <v>190</v>
      </c>
      <c r="AI62" s="2" t="s">
        <v>190</v>
      </c>
      <c r="AJ62" s="2" t="s">
        <v>190</v>
      </c>
      <c r="AK62" s="7" t="s">
        <v>190</v>
      </c>
      <c r="AL62" s="20">
        <f>$AL$5-AM62</f>
        <v>18</v>
      </c>
      <c r="AM62" s="3">
        <f>COUNTIF(AN62:AT62,"×")*3</f>
        <v>3</v>
      </c>
      <c r="AN62" s="2" t="s">
        <v>190</v>
      </c>
      <c r="AO62" s="2" t="s">
        <v>190</v>
      </c>
      <c r="AP62" s="2" t="s">
        <v>115</v>
      </c>
      <c r="AQ62" s="2" t="s">
        <v>190</v>
      </c>
      <c r="AR62" s="2" t="s">
        <v>190</v>
      </c>
      <c r="AS62" s="2" t="s">
        <v>190</v>
      </c>
      <c r="AT62" s="7" t="s">
        <v>190</v>
      </c>
    </row>
    <row r="63" spans="1:46" x14ac:dyDescent="0.4">
      <c r="A63" s="56">
        <v>22041</v>
      </c>
      <c r="B63" s="3" t="s">
        <v>304</v>
      </c>
      <c r="C63" s="12">
        <f>SUM(E63,U63,AC63,AL63,$D$5)</f>
        <v>94</v>
      </c>
      <c r="D63" s="17">
        <v>1</v>
      </c>
      <c r="E63" s="15">
        <f>$E$5-F63</f>
        <v>39</v>
      </c>
      <c r="F63" s="3">
        <f>COUNTIF(G63:T63,"×")*3</f>
        <v>3</v>
      </c>
      <c r="G63" s="2" t="s">
        <v>188</v>
      </c>
      <c r="H63" s="2" t="s">
        <v>188</v>
      </c>
      <c r="I63" s="2" t="s">
        <v>188</v>
      </c>
      <c r="J63" s="2" t="s">
        <v>188</v>
      </c>
      <c r="K63" s="2" t="s">
        <v>188</v>
      </c>
      <c r="L63" s="2" t="s">
        <v>188</v>
      </c>
      <c r="M63" s="2" t="s">
        <v>188</v>
      </c>
      <c r="N63" s="2" t="s">
        <v>188</v>
      </c>
      <c r="O63" s="2" t="s">
        <v>188</v>
      </c>
      <c r="P63" s="2" t="s">
        <v>188</v>
      </c>
      <c r="Q63" s="2" t="s">
        <v>188</v>
      </c>
      <c r="R63" s="2" t="s">
        <v>188</v>
      </c>
      <c r="S63" s="2" t="s">
        <v>133</v>
      </c>
      <c r="T63" s="7" t="s">
        <v>188</v>
      </c>
      <c r="U63" s="20">
        <f>$U$5-V63</f>
        <v>18</v>
      </c>
      <c r="V63" s="3">
        <f>COUNTIF(W63:AB63,"×")*3</f>
        <v>0</v>
      </c>
      <c r="W63" s="2" t="s">
        <v>190</v>
      </c>
      <c r="X63" s="2" t="s">
        <v>190</v>
      </c>
      <c r="Y63" s="2" t="s">
        <v>190</v>
      </c>
      <c r="Z63" s="2" t="s">
        <v>190</v>
      </c>
      <c r="AA63" s="2" t="s">
        <v>190</v>
      </c>
      <c r="AB63" s="7" t="s">
        <v>190</v>
      </c>
      <c r="AC63" s="20">
        <f>$AC$5-AD63</f>
        <v>14</v>
      </c>
      <c r="AD63" s="3">
        <f>COUNTIF(AE63:AK63,"×")*2</f>
        <v>0</v>
      </c>
      <c r="AE63" s="2" t="s">
        <v>190</v>
      </c>
      <c r="AF63" s="2" t="s">
        <v>190</v>
      </c>
      <c r="AG63" s="2" t="s">
        <v>190</v>
      </c>
      <c r="AH63" s="2" t="s">
        <v>190</v>
      </c>
      <c r="AI63" s="2" t="s">
        <v>190</v>
      </c>
      <c r="AJ63" s="2" t="s">
        <v>190</v>
      </c>
      <c r="AK63" s="7" t="s">
        <v>190</v>
      </c>
      <c r="AL63" s="20">
        <f>$AL$5-AM63</f>
        <v>18</v>
      </c>
      <c r="AM63" s="3">
        <f>COUNTIF(AN63:AT63,"×")*3</f>
        <v>3</v>
      </c>
      <c r="AN63" s="2" t="s">
        <v>190</v>
      </c>
      <c r="AO63" s="2" t="s">
        <v>190</v>
      </c>
      <c r="AP63" s="2" t="s">
        <v>115</v>
      </c>
      <c r="AQ63" s="2" t="s">
        <v>190</v>
      </c>
      <c r="AR63" s="2" t="s">
        <v>190</v>
      </c>
      <c r="AS63" s="2" t="s">
        <v>190</v>
      </c>
      <c r="AT63" s="7" t="s">
        <v>190</v>
      </c>
    </row>
    <row r="64" spans="1:46" x14ac:dyDescent="0.4">
      <c r="A64" s="56">
        <v>22044</v>
      </c>
      <c r="B64" s="3" t="s">
        <v>315</v>
      </c>
      <c r="C64" s="12">
        <f>SUM(E64,U64,AC64,AL64,$D$5)</f>
        <v>94</v>
      </c>
      <c r="D64" s="17">
        <v>1</v>
      </c>
      <c r="E64" s="15">
        <f>$E$5-F64</f>
        <v>39</v>
      </c>
      <c r="F64" s="3">
        <f>COUNTIF(G64:T64,"×")*3</f>
        <v>3</v>
      </c>
      <c r="G64" s="2" t="s">
        <v>188</v>
      </c>
      <c r="H64" s="2" t="s">
        <v>188</v>
      </c>
      <c r="I64" s="2" t="s">
        <v>188</v>
      </c>
      <c r="J64" s="2" t="s">
        <v>188</v>
      </c>
      <c r="K64" s="2" t="s">
        <v>188</v>
      </c>
      <c r="L64" s="2" t="s">
        <v>188</v>
      </c>
      <c r="M64" s="2" t="s">
        <v>188</v>
      </c>
      <c r="N64" s="2" t="s">
        <v>188</v>
      </c>
      <c r="O64" s="2" t="s">
        <v>188</v>
      </c>
      <c r="P64" s="2" t="s">
        <v>188</v>
      </c>
      <c r="Q64" s="2" t="s">
        <v>188</v>
      </c>
      <c r="R64" s="2" t="s">
        <v>188</v>
      </c>
      <c r="S64" s="2" t="s">
        <v>133</v>
      </c>
      <c r="T64" s="7" t="s">
        <v>188</v>
      </c>
      <c r="U64" s="20">
        <f>$U$5-V64</f>
        <v>18</v>
      </c>
      <c r="V64" s="3">
        <f>COUNTIF(W64:AB64,"×")*3</f>
        <v>0</v>
      </c>
      <c r="W64" s="2" t="s">
        <v>190</v>
      </c>
      <c r="X64" s="2" t="s">
        <v>190</v>
      </c>
      <c r="Y64" s="2" t="s">
        <v>190</v>
      </c>
      <c r="Z64" s="2" t="s">
        <v>190</v>
      </c>
      <c r="AA64" s="2" t="s">
        <v>190</v>
      </c>
      <c r="AB64" s="7" t="s">
        <v>190</v>
      </c>
      <c r="AC64" s="20">
        <f>$AC$5-AD64</f>
        <v>14</v>
      </c>
      <c r="AD64" s="3">
        <f>COUNTIF(AE64:AK64,"×")*2</f>
        <v>0</v>
      </c>
      <c r="AE64" s="2" t="s">
        <v>190</v>
      </c>
      <c r="AF64" s="2" t="s">
        <v>190</v>
      </c>
      <c r="AG64" s="2" t="s">
        <v>190</v>
      </c>
      <c r="AH64" s="2" t="s">
        <v>190</v>
      </c>
      <c r="AI64" s="2" t="s">
        <v>190</v>
      </c>
      <c r="AJ64" s="2" t="s">
        <v>190</v>
      </c>
      <c r="AK64" s="7" t="s">
        <v>190</v>
      </c>
      <c r="AL64" s="20">
        <f>$AL$5-AM64</f>
        <v>18</v>
      </c>
      <c r="AM64" s="3">
        <f>COUNTIF(AN64:AT64,"×")*3</f>
        <v>3</v>
      </c>
      <c r="AN64" s="2" t="s">
        <v>190</v>
      </c>
      <c r="AO64" s="2" t="s">
        <v>190</v>
      </c>
      <c r="AP64" s="2" t="s">
        <v>115</v>
      </c>
      <c r="AQ64" s="2" t="s">
        <v>190</v>
      </c>
      <c r="AR64" s="2" t="s">
        <v>190</v>
      </c>
      <c r="AS64" s="2" t="s">
        <v>190</v>
      </c>
      <c r="AT64" s="7" t="s">
        <v>190</v>
      </c>
    </row>
    <row r="65" spans="1:46" x14ac:dyDescent="0.4">
      <c r="A65" s="56">
        <v>22075</v>
      </c>
      <c r="B65" s="3" t="s">
        <v>305</v>
      </c>
      <c r="C65" s="12">
        <f>SUM(E65,U65,AC65,AL65,$D$5)</f>
        <v>64</v>
      </c>
      <c r="D65" s="17">
        <v>1</v>
      </c>
      <c r="E65" s="15">
        <f>$E$5-F65</f>
        <v>27</v>
      </c>
      <c r="F65" s="3">
        <f>COUNTIF(G65:T65,"×")*3</f>
        <v>15</v>
      </c>
      <c r="G65" s="2" t="s">
        <v>188</v>
      </c>
      <c r="H65" s="2" t="s">
        <v>133</v>
      </c>
      <c r="I65" s="2" t="s">
        <v>188</v>
      </c>
      <c r="J65" s="2" t="s">
        <v>133</v>
      </c>
      <c r="K65" s="2" t="s">
        <v>188</v>
      </c>
      <c r="L65" s="2" t="s">
        <v>133</v>
      </c>
      <c r="M65" s="2" t="s">
        <v>133</v>
      </c>
      <c r="N65" s="2" t="s">
        <v>188</v>
      </c>
      <c r="O65" s="2" t="s">
        <v>188</v>
      </c>
      <c r="P65" s="2" t="s">
        <v>188</v>
      </c>
      <c r="Q65" s="2" t="s">
        <v>188</v>
      </c>
      <c r="R65" s="2" t="s">
        <v>188</v>
      </c>
      <c r="S65" s="2" t="s">
        <v>133</v>
      </c>
      <c r="T65" s="7" t="s">
        <v>188</v>
      </c>
      <c r="U65" s="20">
        <f>$U$5-V65</f>
        <v>18</v>
      </c>
      <c r="V65" s="3">
        <f>COUNTIF(W65:AB65,"×")*3</f>
        <v>0</v>
      </c>
      <c r="W65" s="2" t="s">
        <v>190</v>
      </c>
      <c r="X65" s="2" t="s">
        <v>190</v>
      </c>
      <c r="Y65" s="2" t="s">
        <v>190</v>
      </c>
      <c r="Z65" s="2" t="s">
        <v>190</v>
      </c>
      <c r="AA65" s="2" t="s">
        <v>190</v>
      </c>
      <c r="AB65" s="7" t="s">
        <v>190</v>
      </c>
      <c r="AC65" s="20">
        <f>$AC$5-AD65</f>
        <v>14</v>
      </c>
      <c r="AD65" s="3">
        <f>COUNTIF(AE65:AK65,"×")*2</f>
        <v>0</v>
      </c>
      <c r="AE65" s="2" t="s">
        <v>190</v>
      </c>
      <c r="AF65" s="2" t="s">
        <v>190</v>
      </c>
      <c r="AG65" s="2" t="s">
        <v>190</v>
      </c>
      <c r="AH65" s="2" t="s">
        <v>190</v>
      </c>
      <c r="AI65" s="2" t="s">
        <v>190</v>
      </c>
      <c r="AJ65" s="2" t="s">
        <v>190</v>
      </c>
      <c r="AK65" s="7" t="s">
        <v>190</v>
      </c>
      <c r="AL65" s="20">
        <f>$AL$5-AM65</f>
        <v>0</v>
      </c>
      <c r="AM65" s="3">
        <f>COUNTIF(AN65:AT65,"×")*3</f>
        <v>21</v>
      </c>
      <c r="AN65" s="2" t="s">
        <v>115</v>
      </c>
      <c r="AO65" s="2" t="s">
        <v>115</v>
      </c>
      <c r="AP65" s="2" t="s">
        <v>115</v>
      </c>
      <c r="AQ65" s="2" t="s">
        <v>115</v>
      </c>
      <c r="AR65" s="2" t="s">
        <v>115</v>
      </c>
      <c r="AS65" s="2" t="s">
        <v>115</v>
      </c>
      <c r="AT65" s="7" t="s">
        <v>115</v>
      </c>
    </row>
    <row r="66" spans="1:46" x14ac:dyDescent="0.4">
      <c r="A66" s="56">
        <v>22088</v>
      </c>
      <c r="B66" s="3" t="s">
        <v>316</v>
      </c>
      <c r="C66" s="12">
        <f>SUM(E66,U66,AC66,AL66,$D$5)</f>
        <v>100</v>
      </c>
      <c r="D66" s="17">
        <v>1</v>
      </c>
      <c r="E66" s="15">
        <f>$E$5-F66</f>
        <v>42</v>
      </c>
      <c r="F66" s="3">
        <f>COUNTIF(G66:T66,"×")*3</f>
        <v>0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7"/>
      <c r="U66" s="20">
        <f>$U$5-V66</f>
        <v>18</v>
      </c>
      <c r="V66" s="3">
        <f>COUNTIF(W66:AB66,"×")*3</f>
        <v>0</v>
      </c>
      <c r="W66" s="2"/>
      <c r="X66" s="2"/>
      <c r="Y66" s="2"/>
      <c r="Z66" s="2"/>
      <c r="AA66" s="2"/>
      <c r="AB66" s="7"/>
      <c r="AC66" s="20">
        <f>$AC$5-AD66</f>
        <v>14</v>
      </c>
      <c r="AD66" s="3">
        <f>COUNTIF(AE66:AK66,"×")*2</f>
        <v>0</v>
      </c>
      <c r="AE66" s="2"/>
      <c r="AF66" s="2"/>
      <c r="AG66" s="2"/>
      <c r="AH66" s="2"/>
      <c r="AI66" s="2"/>
      <c r="AJ66" s="2"/>
      <c r="AK66" s="7"/>
      <c r="AL66" s="20">
        <f>$AL$5-AM66</f>
        <v>21</v>
      </c>
      <c r="AM66" s="3">
        <f>COUNTIF(AN66:AT66,"×")*3</f>
        <v>0</v>
      </c>
      <c r="AN66" s="2"/>
      <c r="AO66" s="2"/>
      <c r="AP66" s="2"/>
      <c r="AQ66" s="2"/>
      <c r="AR66" s="2"/>
      <c r="AS66" s="2"/>
      <c r="AT66" s="7"/>
    </row>
    <row r="67" spans="1:46" x14ac:dyDescent="0.4">
      <c r="A67" s="56">
        <v>22089</v>
      </c>
      <c r="B67" s="3" t="s">
        <v>317</v>
      </c>
      <c r="C67" s="12">
        <f>SUM(E67,U67,AC67,AL67,$D$5)</f>
        <v>82</v>
      </c>
      <c r="D67" s="17">
        <v>1</v>
      </c>
      <c r="E67" s="15">
        <f>$E$5-F67</f>
        <v>27</v>
      </c>
      <c r="F67" s="3">
        <f>COUNTIF(G67:T67,"×")*3</f>
        <v>15</v>
      </c>
      <c r="G67" s="2" t="s">
        <v>133</v>
      </c>
      <c r="H67" s="2" t="s">
        <v>133</v>
      </c>
      <c r="I67" s="2" t="s">
        <v>188</v>
      </c>
      <c r="J67" s="2" t="s">
        <v>133</v>
      </c>
      <c r="K67" s="2" t="s">
        <v>133</v>
      </c>
      <c r="L67" s="2" t="s">
        <v>188</v>
      </c>
      <c r="M67" s="2" t="s">
        <v>188</v>
      </c>
      <c r="N67" s="2" t="s">
        <v>188</v>
      </c>
      <c r="O67" s="2" t="s">
        <v>188</v>
      </c>
      <c r="P67" s="2" t="s">
        <v>188</v>
      </c>
      <c r="Q67" s="2" t="s">
        <v>188</v>
      </c>
      <c r="R67" s="2" t="s">
        <v>188</v>
      </c>
      <c r="S67" s="2" t="s">
        <v>133</v>
      </c>
      <c r="T67" s="7" t="s">
        <v>188</v>
      </c>
      <c r="U67" s="20">
        <f>$U$5-V67</f>
        <v>18</v>
      </c>
      <c r="V67" s="3">
        <f>COUNTIF(W67:AB67,"×")*3</f>
        <v>0</v>
      </c>
      <c r="W67" s="2" t="s">
        <v>190</v>
      </c>
      <c r="X67" s="2" t="s">
        <v>190</v>
      </c>
      <c r="Y67" s="2" t="s">
        <v>190</v>
      </c>
      <c r="Z67" s="2" t="s">
        <v>190</v>
      </c>
      <c r="AA67" s="2" t="s">
        <v>190</v>
      </c>
      <c r="AB67" s="7" t="s">
        <v>190</v>
      </c>
      <c r="AC67" s="20">
        <f>$AC$5-AD67</f>
        <v>14</v>
      </c>
      <c r="AD67" s="3">
        <f>COUNTIF(AE67:AK67,"×")*2</f>
        <v>0</v>
      </c>
      <c r="AE67" s="2" t="s">
        <v>190</v>
      </c>
      <c r="AF67" s="2" t="s">
        <v>190</v>
      </c>
      <c r="AG67" s="2" t="s">
        <v>190</v>
      </c>
      <c r="AH67" s="2" t="s">
        <v>190</v>
      </c>
      <c r="AI67" s="2" t="s">
        <v>190</v>
      </c>
      <c r="AJ67" s="2" t="s">
        <v>190</v>
      </c>
      <c r="AK67" s="7" t="s">
        <v>190</v>
      </c>
      <c r="AL67" s="20">
        <f>$AL$5-AM67</f>
        <v>18</v>
      </c>
      <c r="AM67" s="3">
        <f>COUNTIF(AN67:AT67,"×")*3</f>
        <v>3</v>
      </c>
      <c r="AN67" s="2" t="s">
        <v>115</v>
      </c>
      <c r="AO67" s="2" t="s">
        <v>190</v>
      </c>
      <c r="AP67" s="2" t="s">
        <v>190</v>
      </c>
      <c r="AQ67" s="2" t="s">
        <v>190</v>
      </c>
      <c r="AR67" s="2" t="s">
        <v>190</v>
      </c>
      <c r="AS67" s="2" t="s">
        <v>190</v>
      </c>
      <c r="AT67" s="7" t="s">
        <v>190</v>
      </c>
    </row>
    <row r="68" spans="1:46" x14ac:dyDescent="0.4">
      <c r="A68" s="56">
        <v>22090</v>
      </c>
      <c r="B68" s="3" t="s">
        <v>306</v>
      </c>
      <c r="C68" s="12">
        <f>SUM(E68,U68,AC68,AL68,$D$5)</f>
        <v>37</v>
      </c>
      <c r="D68" s="17">
        <v>1</v>
      </c>
      <c r="E68" s="15">
        <f>$E$5-F68</f>
        <v>9</v>
      </c>
      <c r="F68" s="3">
        <f>COUNTIF(G68:T68,"×")*3</f>
        <v>33</v>
      </c>
      <c r="G68" s="2" t="s">
        <v>133</v>
      </c>
      <c r="H68" s="2" t="s">
        <v>133</v>
      </c>
      <c r="I68" s="2" t="s">
        <v>133</v>
      </c>
      <c r="J68" s="2" t="s">
        <v>133</v>
      </c>
      <c r="K68" s="2" t="s">
        <v>133</v>
      </c>
      <c r="L68" s="2" t="s">
        <v>188</v>
      </c>
      <c r="M68" s="2" t="s">
        <v>188</v>
      </c>
      <c r="N68" s="2" t="s">
        <v>133</v>
      </c>
      <c r="O68" s="2" t="s">
        <v>133</v>
      </c>
      <c r="P68" s="2" t="s">
        <v>133</v>
      </c>
      <c r="Q68" s="2" t="s">
        <v>133</v>
      </c>
      <c r="R68" s="2" t="s">
        <v>188</v>
      </c>
      <c r="S68" s="2" t="s">
        <v>133</v>
      </c>
      <c r="T68" s="7" t="s">
        <v>133</v>
      </c>
      <c r="U68" s="20">
        <f>$U$5-V68</f>
        <v>15</v>
      </c>
      <c r="V68" s="3">
        <f>COUNTIF(W68:AB68,"×")*3</f>
        <v>3</v>
      </c>
      <c r="W68" s="2" t="s">
        <v>115</v>
      </c>
      <c r="X68" s="2" t="s">
        <v>190</v>
      </c>
      <c r="Y68" s="2" t="s">
        <v>190</v>
      </c>
      <c r="Z68" s="2" t="s">
        <v>190</v>
      </c>
      <c r="AA68" s="2" t="s">
        <v>190</v>
      </c>
      <c r="AB68" s="7" t="s">
        <v>190</v>
      </c>
      <c r="AC68" s="20">
        <f>$AC$5-AD68</f>
        <v>8</v>
      </c>
      <c r="AD68" s="3">
        <f>COUNTIF(AE68:AK68,"×")*2</f>
        <v>6</v>
      </c>
      <c r="AE68" s="2" t="s">
        <v>190</v>
      </c>
      <c r="AF68" s="2" t="s">
        <v>190</v>
      </c>
      <c r="AG68" s="2" t="s">
        <v>115</v>
      </c>
      <c r="AH68" s="2" t="s">
        <v>190</v>
      </c>
      <c r="AI68" s="2" t="s">
        <v>115</v>
      </c>
      <c r="AJ68" s="2" t="s">
        <v>115</v>
      </c>
      <c r="AK68" s="7" t="s">
        <v>190</v>
      </c>
      <c r="AL68" s="20">
        <f>$AL$5-AM68</f>
        <v>0</v>
      </c>
      <c r="AM68" s="3">
        <f>COUNTIF(AN68:AT68,"×")*3</f>
        <v>21</v>
      </c>
      <c r="AN68" s="2" t="s">
        <v>115</v>
      </c>
      <c r="AO68" s="2" t="s">
        <v>115</v>
      </c>
      <c r="AP68" s="2" t="s">
        <v>115</v>
      </c>
      <c r="AQ68" s="2" t="s">
        <v>115</v>
      </c>
      <c r="AR68" s="2" t="s">
        <v>115</v>
      </c>
      <c r="AS68" s="2" t="s">
        <v>115</v>
      </c>
      <c r="AT68" s="7" t="s">
        <v>115</v>
      </c>
    </row>
    <row r="69" spans="1:46" x14ac:dyDescent="0.4">
      <c r="A69" s="56">
        <v>22097</v>
      </c>
      <c r="B69" s="3" t="s">
        <v>307</v>
      </c>
      <c r="C69" s="12">
        <f>SUM(E69,U69,AC69,AL69,$D$5)</f>
        <v>5</v>
      </c>
      <c r="D69" s="17">
        <v>1</v>
      </c>
      <c r="E69" s="15">
        <f>$E$5-F69</f>
        <v>0</v>
      </c>
      <c r="F69" s="3">
        <f>COUNTIF(G69:T69,"×")*3</f>
        <v>42</v>
      </c>
      <c r="G69" s="2" t="s">
        <v>133</v>
      </c>
      <c r="H69" s="2" t="s">
        <v>133</v>
      </c>
      <c r="I69" s="2" t="s">
        <v>133</v>
      </c>
      <c r="J69" s="2" t="s">
        <v>133</v>
      </c>
      <c r="K69" s="2" t="s">
        <v>133</v>
      </c>
      <c r="L69" s="2" t="s">
        <v>133</v>
      </c>
      <c r="M69" s="2" t="s">
        <v>133</v>
      </c>
      <c r="N69" s="2" t="s">
        <v>133</v>
      </c>
      <c r="O69" s="2" t="s">
        <v>133</v>
      </c>
      <c r="P69" s="2" t="s">
        <v>133</v>
      </c>
      <c r="Q69" s="2" t="s">
        <v>133</v>
      </c>
      <c r="R69" s="2" t="s">
        <v>133</v>
      </c>
      <c r="S69" s="2" t="s">
        <v>133</v>
      </c>
      <c r="T69" s="7" t="s">
        <v>133</v>
      </c>
      <c r="U69" s="20">
        <f>$U$5-V69</f>
        <v>0</v>
      </c>
      <c r="V69" s="3">
        <f>COUNTIF(W69:AB69,"×")*3</f>
        <v>18</v>
      </c>
      <c r="W69" s="2" t="s">
        <v>115</v>
      </c>
      <c r="X69" s="2" t="s">
        <v>115</v>
      </c>
      <c r="Y69" s="2" t="s">
        <v>115</v>
      </c>
      <c r="Z69" s="2" t="s">
        <v>115</v>
      </c>
      <c r="AA69" s="2" t="s">
        <v>115</v>
      </c>
      <c r="AB69" s="7" t="s">
        <v>115</v>
      </c>
      <c r="AC69" s="20">
        <f>$AC$5-AD69</f>
        <v>0</v>
      </c>
      <c r="AD69" s="3">
        <f>COUNTIF(AE69:AK69,"×")*2</f>
        <v>14</v>
      </c>
      <c r="AE69" s="2" t="s">
        <v>115</v>
      </c>
      <c r="AF69" s="2" t="s">
        <v>115</v>
      </c>
      <c r="AG69" s="2" t="s">
        <v>115</v>
      </c>
      <c r="AH69" s="2" t="s">
        <v>115</v>
      </c>
      <c r="AI69" s="2" t="s">
        <v>115</v>
      </c>
      <c r="AJ69" s="2" t="s">
        <v>115</v>
      </c>
      <c r="AK69" s="7" t="s">
        <v>115</v>
      </c>
      <c r="AL69" s="20">
        <f>$AL$5-AM69</f>
        <v>0</v>
      </c>
      <c r="AM69" s="3">
        <f>COUNTIF(AN69:AT69,"×")*3</f>
        <v>21</v>
      </c>
      <c r="AN69" s="2" t="s">
        <v>115</v>
      </c>
      <c r="AO69" s="2" t="s">
        <v>115</v>
      </c>
      <c r="AP69" s="2" t="s">
        <v>115</v>
      </c>
      <c r="AQ69" s="2" t="s">
        <v>115</v>
      </c>
      <c r="AR69" s="2" t="s">
        <v>115</v>
      </c>
      <c r="AS69" s="2" t="s">
        <v>115</v>
      </c>
      <c r="AT69" s="7" t="s">
        <v>115</v>
      </c>
    </row>
    <row r="70" spans="1:46" x14ac:dyDescent="0.4">
      <c r="A70" s="56">
        <v>22102</v>
      </c>
      <c r="B70" s="3" t="s">
        <v>308</v>
      </c>
      <c r="C70" s="12">
        <f>SUM(E70,U70,AC70,AL70,$D$5)</f>
        <v>97</v>
      </c>
      <c r="D70" s="17">
        <v>1</v>
      </c>
      <c r="E70" s="15">
        <f>$E$5-F70</f>
        <v>39</v>
      </c>
      <c r="F70" s="3">
        <f>COUNTIF(G70:T70,"×")*3</f>
        <v>3</v>
      </c>
      <c r="G70" s="2" t="s">
        <v>188</v>
      </c>
      <c r="H70" s="2" t="s">
        <v>188</v>
      </c>
      <c r="I70" s="2" t="s">
        <v>188</v>
      </c>
      <c r="J70" s="2" t="s">
        <v>188</v>
      </c>
      <c r="K70" s="2" t="s">
        <v>188</v>
      </c>
      <c r="L70" s="2" t="s">
        <v>188</v>
      </c>
      <c r="M70" s="2" t="s">
        <v>188</v>
      </c>
      <c r="N70" s="2" t="s">
        <v>188</v>
      </c>
      <c r="O70" s="2" t="s">
        <v>188</v>
      </c>
      <c r="P70" s="2" t="s">
        <v>188</v>
      </c>
      <c r="Q70" s="2" t="s">
        <v>188</v>
      </c>
      <c r="R70" s="2" t="s">
        <v>188</v>
      </c>
      <c r="S70" s="2" t="s">
        <v>133</v>
      </c>
      <c r="T70" s="7" t="s">
        <v>188</v>
      </c>
      <c r="U70" s="20">
        <f>$U$5-V70</f>
        <v>18</v>
      </c>
      <c r="V70" s="3">
        <f>COUNTIF(W70:AB70,"×")*3</f>
        <v>0</v>
      </c>
      <c r="W70" s="2" t="s">
        <v>190</v>
      </c>
      <c r="X70" s="2" t="s">
        <v>190</v>
      </c>
      <c r="Y70" s="2" t="s">
        <v>190</v>
      </c>
      <c r="Z70" s="2" t="s">
        <v>190</v>
      </c>
      <c r="AA70" s="2" t="s">
        <v>190</v>
      </c>
      <c r="AB70" s="7" t="s">
        <v>190</v>
      </c>
      <c r="AC70" s="20">
        <f>$AC$5-AD70</f>
        <v>14</v>
      </c>
      <c r="AD70" s="3">
        <f>COUNTIF(AE70:AK70,"×")*2</f>
        <v>0</v>
      </c>
      <c r="AE70" s="2" t="s">
        <v>190</v>
      </c>
      <c r="AF70" s="2" t="s">
        <v>190</v>
      </c>
      <c r="AG70" s="2" t="s">
        <v>190</v>
      </c>
      <c r="AH70" s="2" t="s">
        <v>190</v>
      </c>
      <c r="AI70" s="2" t="s">
        <v>190</v>
      </c>
      <c r="AJ70" s="2" t="s">
        <v>190</v>
      </c>
      <c r="AK70" s="7" t="s">
        <v>190</v>
      </c>
      <c r="AL70" s="20">
        <f>$AL$5-AM70</f>
        <v>21</v>
      </c>
      <c r="AM70" s="3">
        <f>COUNTIF(AN70:AT70,"×")*3</f>
        <v>0</v>
      </c>
      <c r="AN70" s="2" t="s">
        <v>190</v>
      </c>
      <c r="AO70" s="2" t="s">
        <v>190</v>
      </c>
      <c r="AP70" s="2" t="s">
        <v>190</v>
      </c>
      <c r="AQ70" s="2" t="s">
        <v>190</v>
      </c>
      <c r="AR70" s="2" t="s">
        <v>190</v>
      </c>
      <c r="AS70" s="2" t="s">
        <v>190</v>
      </c>
      <c r="AT70" s="7" t="s">
        <v>190</v>
      </c>
    </row>
    <row r="71" spans="1:46" x14ac:dyDescent="0.4">
      <c r="A71" s="56">
        <v>22105</v>
      </c>
      <c r="B71" s="3" t="s">
        <v>318</v>
      </c>
      <c r="C71" s="12">
        <f>SUM(E71,U71,AC71,AL71,$D$5)</f>
        <v>68</v>
      </c>
      <c r="D71" s="17">
        <v>1</v>
      </c>
      <c r="E71" s="15">
        <f>$E$5-F71</f>
        <v>27</v>
      </c>
      <c r="F71" s="3">
        <f>COUNTIF(G71:T71,"×")*3</f>
        <v>15</v>
      </c>
      <c r="G71" s="2" t="s">
        <v>188</v>
      </c>
      <c r="H71" s="2" t="s">
        <v>188</v>
      </c>
      <c r="I71" s="2" t="s">
        <v>133</v>
      </c>
      <c r="J71" s="2" t="s">
        <v>133</v>
      </c>
      <c r="K71" s="2" t="s">
        <v>188</v>
      </c>
      <c r="L71" s="2" t="s">
        <v>188</v>
      </c>
      <c r="M71" s="2" t="s">
        <v>188</v>
      </c>
      <c r="N71" s="2" t="s">
        <v>188</v>
      </c>
      <c r="O71" s="2" t="s">
        <v>188</v>
      </c>
      <c r="P71" s="2" t="s">
        <v>133</v>
      </c>
      <c r="Q71" s="2" t="s">
        <v>133</v>
      </c>
      <c r="R71" s="2" t="s">
        <v>188</v>
      </c>
      <c r="S71" s="2" t="s">
        <v>133</v>
      </c>
      <c r="T71" s="7" t="s">
        <v>188</v>
      </c>
      <c r="U71" s="20">
        <f>$U$5-V71</f>
        <v>15</v>
      </c>
      <c r="V71" s="3">
        <f>COUNTIF(W71:AB71,"×")*3</f>
        <v>3</v>
      </c>
      <c r="W71" s="2" t="s">
        <v>190</v>
      </c>
      <c r="X71" s="2" t="s">
        <v>190</v>
      </c>
      <c r="Y71" s="2" t="s">
        <v>190</v>
      </c>
      <c r="Z71" s="2" t="s">
        <v>115</v>
      </c>
      <c r="AA71" s="2" t="s">
        <v>190</v>
      </c>
      <c r="AB71" s="7" t="s">
        <v>190</v>
      </c>
      <c r="AC71" s="20">
        <f>$AC$5-AD71</f>
        <v>12</v>
      </c>
      <c r="AD71" s="3">
        <f>COUNTIF(AE71:AK71,"×")*2</f>
        <v>2</v>
      </c>
      <c r="AE71" s="2" t="s">
        <v>190</v>
      </c>
      <c r="AF71" s="2" t="s">
        <v>190</v>
      </c>
      <c r="AG71" s="2" t="s">
        <v>190</v>
      </c>
      <c r="AH71" s="2" t="s">
        <v>190</v>
      </c>
      <c r="AI71" s="2" t="s">
        <v>115</v>
      </c>
      <c r="AJ71" s="2" t="s">
        <v>190</v>
      </c>
      <c r="AK71" s="7" t="s">
        <v>190</v>
      </c>
      <c r="AL71" s="20">
        <f>$AL$5-AM71</f>
        <v>9</v>
      </c>
      <c r="AM71" s="3">
        <f>COUNTIF(AN71:AT71,"×")*3</f>
        <v>12</v>
      </c>
      <c r="AN71" s="2" t="s">
        <v>115</v>
      </c>
      <c r="AO71" s="2" t="s">
        <v>190</v>
      </c>
      <c r="AP71" s="2" t="s">
        <v>190</v>
      </c>
      <c r="AQ71" s="2" t="s">
        <v>190</v>
      </c>
      <c r="AR71" s="2" t="s">
        <v>115</v>
      </c>
      <c r="AS71" s="2" t="s">
        <v>115</v>
      </c>
      <c r="AT71" s="7" t="s">
        <v>115</v>
      </c>
    </row>
    <row r="72" spans="1:46" x14ac:dyDescent="0.4">
      <c r="A72" s="56">
        <v>22106</v>
      </c>
      <c r="B72" s="3" t="s">
        <v>319</v>
      </c>
      <c r="C72" s="12">
        <f>SUM(E72,U72,AC72,AL72,$D$5)</f>
        <v>50</v>
      </c>
      <c r="D72" s="17">
        <v>1</v>
      </c>
      <c r="E72" s="15">
        <f>$E$5-F72</f>
        <v>24</v>
      </c>
      <c r="F72" s="3">
        <f>COUNTIF(G72:T72,"×")*3</f>
        <v>18</v>
      </c>
      <c r="G72" s="2" t="s">
        <v>188</v>
      </c>
      <c r="H72" s="2" t="s">
        <v>188</v>
      </c>
      <c r="I72" s="2" t="s">
        <v>133</v>
      </c>
      <c r="J72" s="2" t="s">
        <v>133</v>
      </c>
      <c r="K72" s="2" t="s">
        <v>188</v>
      </c>
      <c r="L72" s="2" t="s">
        <v>133</v>
      </c>
      <c r="M72" s="2" t="s">
        <v>188</v>
      </c>
      <c r="N72" s="2" t="s">
        <v>133</v>
      </c>
      <c r="O72" s="2" t="s">
        <v>133</v>
      </c>
      <c r="P72" s="2" t="s">
        <v>188</v>
      </c>
      <c r="Q72" s="2" t="s">
        <v>188</v>
      </c>
      <c r="R72" s="2" t="s">
        <v>188</v>
      </c>
      <c r="S72" s="2" t="s">
        <v>133</v>
      </c>
      <c r="T72" s="7" t="s">
        <v>188</v>
      </c>
      <c r="U72" s="20">
        <f>$U$5-V72</f>
        <v>9</v>
      </c>
      <c r="V72" s="3">
        <f>COUNTIF(W72:AB72,"×")*3</f>
        <v>9</v>
      </c>
      <c r="W72" s="2" t="s">
        <v>190</v>
      </c>
      <c r="X72" s="2" t="s">
        <v>190</v>
      </c>
      <c r="Y72" s="2" t="s">
        <v>115</v>
      </c>
      <c r="Z72" s="2" t="s">
        <v>115</v>
      </c>
      <c r="AA72" s="2" t="s">
        <v>190</v>
      </c>
      <c r="AB72" s="7" t="s">
        <v>115</v>
      </c>
      <c r="AC72" s="20">
        <f>$AC$5-AD72</f>
        <v>12</v>
      </c>
      <c r="AD72" s="3">
        <f>COUNTIF(AE72:AK72,"×")*2</f>
        <v>2</v>
      </c>
      <c r="AE72" s="2" t="s">
        <v>190</v>
      </c>
      <c r="AF72" s="2" t="s">
        <v>190</v>
      </c>
      <c r="AG72" s="2" t="s">
        <v>190</v>
      </c>
      <c r="AH72" s="2" t="s">
        <v>190</v>
      </c>
      <c r="AI72" s="2" t="s">
        <v>115</v>
      </c>
      <c r="AJ72" s="2" t="s">
        <v>190</v>
      </c>
      <c r="AK72" s="7" t="s">
        <v>190</v>
      </c>
      <c r="AL72" s="20">
        <f>$AL$5-AM72</f>
        <v>0</v>
      </c>
      <c r="AM72" s="3">
        <f>COUNTIF(AN72:AT72,"×")*3</f>
        <v>21</v>
      </c>
      <c r="AN72" s="2" t="s">
        <v>115</v>
      </c>
      <c r="AO72" s="2" t="s">
        <v>115</v>
      </c>
      <c r="AP72" s="2" t="s">
        <v>115</v>
      </c>
      <c r="AQ72" s="2" t="s">
        <v>115</v>
      </c>
      <c r="AR72" s="2" t="s">
        <v>115</v>
      </c>
      <c r="AS72" s="2" t="s">
        <v>115</v>
      </c>
      <c r="AT72" s="7" t="s">
        <v>115</v>
      </c>
    </row>
    <row r="73" spans="1:46" x14ac:dyDescent="0.4">
      <c r="A73" s="56">
        <v>22115</v>
      </c>
      <c r="B73" s="3" t="s">
        <v>309</v>
      </c>
      <c r="C73" s="12">
        <f>SUM(E73,U73,AC73,AL73,$D$5)</f>
        <v>97</v>
      </c>
      <c r="D73" s="17">
        <v>1</v>
      </c>
      <c r="E73" s="15">
        <f>$E$5-F73</f>
        <v>39</v>
      </c>
      <c r="F73" s="3">
        <f>COUNTIF(G73:T73,"×")*3</f>
        <v>3</v>
      </c>
      <c r="G73" s="2" t="s">
        <v>188</v>
      </c>
      <c r="H73" s="2" t="s">
        <v>188</v>
      </c>
      <c r="I73" s="2" t="s">
        <v>188</v>
      </c>
      <c r="J73" s="2" t="s">
        <v>188</v>
      </c>
      <c r="K73" s="2" t="s">
        <v>188</v>
      </c>
      <c r="L73" s="2" t="s">
        <v>188</v>
      </c>
      <c r="M73" s="2" t="s">
        <v>188</v>
      </c>
      <c r="N73" s="2" t="s">
        <v>188</v>
      </c>
      <c r="O73" s="2" t="s">
        <v>188</v>
      </c>
      <c r="P73" s="2" t="s">
        <v>188</v>
      </c>
      <c r="Q73" s="2" t="s">
        <v>188</v>
      </c>
      <c r="R73" s="2" t="s">
        <v>188</v>
      </c>
      <c r="S73" s="2" t="s">
        <v>133</v>
      </c>
      <c r="T73" s="7" t="s">
        <v>188</v>
      </c>
      <c r="U73" s="20">
        <f>$U$5-V73</f>
        <v>18</v>
      </c>
      <c r="V73" s="3">
        <f>COUNTIF(W73:AB73,"×")*3</f>
        <v>0</v>
      </c>
      <c r="W73" s="2" t="s">
        <v>190</v>
      </c>
      <c r="X73" s="2" t="s">
        <v>190</v>
      </c>
      <c r="Y73" s="2" t="s">
        <v>190</v>
      </c>
      <c r="Z73" s="2" t="s">
        <v>190</v>
      </c>
      <c r="AA73" s="2" t="s">
        <v>190</v>
      </c>
      <c r="AB73" s="7" t="s">
        <v>190</v>
      </c>
      <c r="AC73" s="20">
        <f>$AC$5-AD73</f>
        <v>14</v>
      </c>
      <c r="AD73" s="3">
        <f>COUNTIF(AE73:AK73,"×")*2</f>
        <v>0</v>
      </c>
      <c r="AE73" s="2" t="s">
        <v>190</v>
      </c>
      <c r="AF73" s="2" t="s">
        <v>190</v>
      </c>
      <c r="AG73" s="2" t="s">
        <v>190</v>
      </c>
      <c r="AH73" s="2" t="s">
        <v>190</v>
      </c>
      <c r="AI73" s="2" t="s">
        <v>190</v>
      </c>
      <c r="AJ73" s="2" t="s">
        <v>190</v>
      </c>
      <c r="AK73" s="7" t="s">
        <v>190</v>
      </c>
      <c r="AL73" s="20">
        <f>$AL$5-AM73</f>
        <v>21</v>
      </c>
      <c r="AM73" s="3">
        <f>COUNTIF(AN73:AT73,"×")*3</f>
        <v>0</v>
      </c>
      <c r="AN73" s="2" t="s">
        <v>190</v>
      </c>
      <c r="AO73" s="2" t="s">
        <v>190</v>
      </c>
      <c r="AP73" s="2" t="s">
        <v>190</v>
      </c>
      <c r="AQ73" s="2" t="s">
        <v>190</v>
      </c>
      <c r="AR73" s="2" t="s">
        <v>190</v>
      </c>
      <c r="AS73" s="2" t="s">
        <v>190</v>
      </c>
      <c r="AT73" s="7" t="s">
        <v>190</v>
      </c>
    </row>
    <row r="74" spans="1:46" x14ac:dyDescent="0.4">
      <c r="A74" s="56">
        <v>22117</v>
      </c>
      <c r="B74" s="3" t="s">
        <v>310</v>
      </c>
      <c r="C74" s="12">
        <f>SUM(E74,U74,AC74,AL74,$D$5)</f>
        <v>97</v>
      </c>
      <c r="D74" s="17">
        <v>1</v>
      </c>
      <c r="E74" s="15">
        <f>$E$5-F74</f>
        <v>39</v>
      </c>
      <c r="F74" s="3">
        <f>COUNTIF(G74:T74,"×")*3</f>
        <v>3</v>
      </c>
      <c r="G74" s="2" t="s">
        <v>188</v>
      </c>
      <c r="H74" s="2" t="s">
        <v>188</v>
      </c>
      <c r="I74" s="2" t="s">
        <v>188</v>
      </c>
      <c r="J74" s="2" t="s">
        <v>188</v>
      </c>
      <c r="K74" s="2" t="s">
        <v>188</v>
      </c>
      <c r="L74" s="2" t="s">
        <v>188</v>
      </c>
      <c r="M74" s="2" t="s">
        <v>188</v>
      </c>
      <c r="N74" s="2" t="s">
        <v>188</v>
      </c>
      <c r="O74" s="2" t="s">
        <v>188</v>
      </c>
      <c r="P74" s="2" t="s">
        <v>188</v>
      </c>
      <c r="Q74" s="2" t="s">
        <v>188</v>
      </c>
      <c r="R74" s="2" t="s">
        <v>188</v>
      </c>
      <c r="S74" s="2" t="s">
        <v>133</v>
      </c>
      <c r="T74" s="7" t="s">
        <v>188</v>
      </c>
      <c r="U74" s="20">
        <f>$U$5-V74</f>
        <v>18</v>
      </c>
      <c r="V74" s="3">
        <f>COUNTIF(W74:AB74,"×")*3</f>
        <v>0</v>
      </c>
      <c r="W74" s="2" t="s">
        <v>190</v>
      </c>
      <c r="X74" s="2" t="s">
        <v>190</v>
      </c>
      <c r="Y74" s="2" t="s">
        <v>190</v>
      </c>
      <c r="Z74" s="2" t="s">
        <v>190</v>
      </c>
      <c r="AA74" s="2" t="s">
        <v>190</v>
      </c>
      <c r="AB74" s="7" t="s">
        <v>190</v>
      </c>
      <c r="AC74" s="20">
        <f>$AC$5-AD74</f>
        <v>14</v>
      </c>
      <c r="AD74" s="3">
        <f>COUNTIF(AE74:AK74,"×")*2</f>
        <v>0</v>
      </c>
      <c r="AE74" s="2" t="s">
        <v>190</v>
      </c>
      <c r="AF74" s="2" t="s">
        <v>190</v>
      </c>
      <c r="AG74" s="2" t="s">
        <v>190</v>
      </c>
      <c r="AH74" s="2" t="s">
        <v>190</v>
      </c>
      <c r="AI74" s="2" t="s">
        <v>190</v>
      </c>
      <c r="AJ74" s="2" t="s">
        <v>190</v>
      </c>
      <c r="AK74" s="7" t="s">
        <v>190</v>
      </c>
      <c r="AL74" s="20">
        <f>$AL$5-AM74</f>
        <v>21</v>
      </c>
      <c r="AM74" s="3">
        <f>COUNTIF(AN74:AT74,"×")*3</f>
        <v>0</v>
      </c>
      <c r="AN74" s="2" t="s">
        <v>190</v>
      </c>
      <c r="AO74" s="2" t="s">
        <v>190</v>
      </c>
      <c r="AP74" s="2" t="s">
        <v>190</v>
      </c>
      <c r="AQ74" s="2" t="s">
        <v>190</v>
      </c>
      <c r="AR74" s="2" t="s">
        <v>190</v>
      </c>
      <c r="AS74" s="2" t="s">
        <v>190</v>
      </c>
      <c r="AT74" s="7" t="s">
        <v>190</v>
      </c>
    </row>
    <row r="75" spans="1:46" x14ac:dyDescent="0.4">
      <c r="A75" s="56">
        <v>22118</v>
      </c>
      <c r="B75" s="3" t="s">
        <v>320</v>
      </c>
      <c r="C75" s="12">
        <f>SUM(E75,U75,AC75,AL75,$D$5)</f>
        <v>88</v>
      </c>
      <c r="D75" s="17">
        <v>1</v>
      </c>
      <c r="E75" s="15">
        <f>$E$5-F75</f>
        <v>39</v>
      </c>
      <c r="F75" s="3">
        <f>COUNTIF(G75:T75,"×")*3</f>
        <v>3</v>
      </c>
      <c r="G75" s="2" t="s">
        <v>188</v>
      </c>
      <c r="H75" s="2" t="s">
        <v>188</v>
      </c>
      <c r="I75" s="2" t="s">
        <v>188</v>
      </c>
      <c r="J75" s="2" t="s">
        <v>188</v>
      </c>
      <c r="K75" s="2" t="s">
        <v>188</v>
      </c>
      <c r="L75" s="2" t="s">
        <v>188</v>
      </c>
      <c r="M75" s="2" t="s">
        <v>188</v>
      </c>
      <c r="N75" s="2" t="s">
        <v>188</v>
      </c>
      <c r="O75" s="2" t="s">
        <v>188</v>
      </c>
      <c r="P75" s="2" t="s">
        <v>188</v>
      </c>
      <c r="Q75" s="2" t="s">
        <v>188</v>
      </c>
      <c r="R75" s="2" t="s">
        <v>188</v>
      </c>
      <c r="S75" s="2" t="s">
        <v>133</v>
      </c>
      <c r="T75" s="7" t="s">
        <v>188</v>
      </c>
      <c r="U75" s="20">
        <f>$U$5-V75</f>
        <v>15</v>
      </c>
      <c r="V75" s="3">
        <f>COUNTIF(W75:AB75,"×")*3</f>
        <v>3</v>
      </c>
      <c r="W75" s="2" t="s">
        <v>190</v>
      </c>
      <c r="X75" s="2" t="s">
        <v>190</v>
      </c>
      <c r="Y75" s="2" t="s">
        <v>190</v>
      </c>
      <c r="Z75" s="2" t="s">
        <v>115</v>
      </c>
      <c r="AA75" s="2" t="s">
        <v>190</v>
      </c>
      <c r="AB75" s="7" t="s">
        <v>190</v>
      </c>
      <c r="AC75" s="20">
        <f>$AC$5-AD75</f>
        <v>14</v>
      </c>
      <c r="AD75" s="3">
        <f>COUNTIF(AE75:AK75,"×")*2</f>
        <v>0</v>
      </c>
      <c r="AE75" s="2" t="s">
        <v>190</v>
      </c>
      <c r="AF75" s="2" t="s">
        <v>190</v>
      </c>
      <c r="AG75" s="2" t="s">
        <v>190</v>
      </c>
      <c r="AH75" s="2" t="s">
        <v>190</v>
      </c>
      <c r="AI75" s="2" t="s">
        <v>190</v>
      </c>
      <c r="AJ75" s="2" t="s">
        <v>190</v>
      </c>
      <c r="AK75" s="7" t="s">
        <v>190</v>
      </c>
      <c r="AL75" s="20">
        <f>$AL$5-AM75</f>
        <v>15</v>
      </c>
      <c r="AM75" s="3">
        <f>COUNTIF(AN75:AT75,"×")*3</f>
        <v>6</v>
      </c>
      <c r="AN75" s="2" t="s">
        <v>115</v>
      </c>
      <c r="AO75" s="2" t="s">
        <v>190</v>
      </c>
      <c r="AP75" s="2" t="s">
        <v>115</v>
      </c>
      <c r="AQ75" s="2" t="s">
        <v>190</v>
      </c>
      <c r="AR75" s="2" t="s">
        <v>190</v>
      </c>
      <c r="AS75" s="2" t="s">
        <v>190</v>
      </c>
      <c r="AT75" s="7" t="s">
        <v>190</v>
      </c>
    </row>
    <row r="76" spans="1:46" x14ac:dyDescent="0.4">
      <c r="A76" s="56">
        <v>22121</v>
      </c>
      <c r="B76" s="3" t="s">
        <v>63</v>
      </c>
      <c r="C76" s="12">
        <f>SUM(E76,U76,AC76,AL76,$D$5)</f>
        <v>88</v>
      </c>
      <c r="D76" s="17">
        <v>1</v>
      </c>
      <c r="E76" s="15">
        <f>$E$5-F76</f>
        <v>30</v>
      </c>
      <c r="F76" s="3">
        <f>COUNTIF(G76:T76,"×")*3</f>
        <v>12</v>
      </c>
      <c r="G76" s="2" t="s">
        <v>188</v>
      </c>
      <c r="H76" s="2" t="s">
        <v>188</v>
      </c>
      <c r="I76" s="2" t="s">
        <v>188</v>
      </c>
      <c r="J76" s="2" t="s">
        <v>133</v>
      </c>
      <c r="K76" s="2" t="s">
        <v>188</v>
      </c>
      <c r="L76" s="2" t="s">
        <v>133</v>
      </c>
      <c r="M76" s="2" t="s">
        <v>133</v>
      </c>
      <c r="N76" s="2" t="s">
        <v>188</v>
      </c>
      <c r="O76" s="2" t="s">
        <v>188</v>
      </c>
      <c r="P76" s="2" t="s">
        <v>188</v>
      </c>
      <c r="Q76" s="2" t="s">
        <v>188</v>
      </c>
      <c r="R76" s="2" t="s">
        <v>188</v>
      </c>
      <c r="S76" s="2" t="s">
        <v>133</v>
      </c>
      <c r="T76" s="7" t="s">
        <v>188</v>
      </c>
      <c r="U76" s="20">
        <f>$U$5-V76</f>
        <v>18</v>
      </c>
      <c r="V76" s="3">
        <f>COUNTIF(W76:AB76,"×")*3</f>
        <v>0</v>
      </c>
      <c r="W76" s="2" t="s">
        <v>190</v>
      </c>
      <c r="X76" s="2" t="s">
        <v>190</v>
      </c>
      <c r="Y76" s="2" t="s">
        <v>190</v>
      </c>
      <c r="Z76" s="2" t="s">
        <v>190</v>
      </c>
      <c r="AA76" s="2" t="s">
        <v>190</v>
      </c>
      <c r="AB76" s="7" t="s">
        <v>190</v>
      </c>
      <c r="AC76" s="20">
        <f>$AC$5-AD76</f>
        <v>14</v>
      </c>
      <c r="AD76" s="3">
        <f>COUNTIF(AE76:AK76,"×")*2</f>
        <v>0</v>
      </c>
      <c r="AE76" s="2" t="s">
        <v>190</v>
      </c>
      <c r="AF76" s="2" t="s">
        <v>190</v>
      </c>
      <c r="AG76" s="2" t="s">
        <v>190</v>
      </c>
      <c r="AH76" s="2" t="s">
        <v>190</v>
      </c>
      <c r="AI76" s="2" t="s">
        <v>190</v>
      </c>
      <c r="AJ76" s="2" t="s">
        <v>190</v>
      </c>
      <c r="AK76" s="7" t="s">
        <v>190</v>
      </c>
      <c r="AL76" s="20">
        <f>$AL$5-AM76</f>
        <v>21</v>
      </c>
      <c r="AM76" s="3">
        <f>COUNTIF(AN76:AT76,"×")*3</f>
        <v>0</v>
      </c>
      <c r="AN76" s="2" t="s">
        <v>190</v>
      </c>
      <c r="AO76" s="2" t="s">
        <v>190</v>
      </c>
      <c r="AP76" s="2" t="s">
        <v>190</v>
      </c>
      <c r="AQ76" s="2" t="s">
        <v>190</v>
      </c>
      <c r="AR76" s="2" t="s">
        <v>190</v>
      </c>
      <c r="AS76" s="2" t="s">
        <v>190</v>
      </c>
      <c r="AT76" s="7" t="s">
        <v>190</v>
      </c>
    </row>
    <row r="77" spans="1:46" x14ac:dyDescent="0.4">
      <c r="A77" s="56"/>
      <c r="B77" s="3"/>
      <c r="C77" s="12">
        <f t="shared" ref="C71:C77" si="10">SUM(E77,U77,AC77,AL77,$D$5)</f>
        <v>100</v>
      </c>
      <c r="D77" s="17"/>
      <c r="E77" s="15">
        <f t="shared" ref="E71:E77" si="11">$E$5-F77</f>
        <v>42</v>
      </c>
      <c r="F77" s="3">
        <f t="shared" ref="F71:F77" si="12">COUNTIF(G77:T77,"×")*3</f>
        <v>0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7"/>
      <c r="U77" s="20">
        <f t="shared" ref="U71:U77" si="13">$U$5-V77</f>
        <v>18</v>
      </c>
      <c r="V77" s="3">
        <f t="shared" ref="V71:V77" si="14">COUNTIF(W77:AB77,"×")*3</f>
        <v>0</v>
      </c>
      <c r="W77" s="2"/>
      <c r="X77" s="2"/>
      <c r="Y77" s="2"/>
      <c r="Z77" s="2"/>
      <c r="AA77" s="2"/>
      <c r="AB77" s="7"/>
      <c r="AC77" s="20">
        <f t="shared" ref="AC71:AC77" si="15">$AC$5-AD77</f>
        <v>14</v>
      </c>
      <c r="AD77" s="3">
        <f t="shared" ref="AD71:AD77" si="16">COUNTIF(AE77:AK77,"×")*2</f>
        <v>0</v>
      </c>
      <c r="AE77" s="2"/>
      <c r="AF77" s="2"/>
      <c r="AG77" s="2"/>
      <c r="AH77" s="2"/>
      <c r="AI77" s="2"/>
      <c r="AJ77" s="2"/>
      <c r="AK77" s="7"/>
      <c r="AL77" s="20">
        <f t="shared" ref="AL71:AL77" si="17">$AL$5-AM77</f>
        <v>21</v>
      </c>
      <c r="AM77" s="3">
        <f t="shared" ref="AM71:AM77" si="18">COUNTIF(AN77:AT77,"×")*3</f>
        <v>0</v>
      </c>
      <c r="AN77" s="2"/>
      <c r="AO77" s="2"/>
      <c r="AP77" s="2"/>
      <c r="AQ77" s="2"/>
      <c r="AR77" s="2"/>
      <c r="AS77" s="2"/>
      <c r="AT77" s="7"/>
    </row>
    <row r="78" spans="1:46" x14ac:dyDescent="0.4">
      <c r="A78" s="56"/>
      <c r="B78" s="3"/>
      <c r="C78" s="12">
        <f t="shared" ref="C8:C89" si="19">SUM(E78,U78,AC78,AL78,$D$5)</f>
        <v>100</v>
      </c>
      <c r="D78" s="17"/>
      <c r="E78" s="15">
        <f t="shared" ref="E8:E89" si="20">$E$5-F78</f>
        <v>42</v>
      </c>
      <c r="F78" s="3">
        <f t="shared" ref="F8:F87" si="21">COUNTIF(G78:T78,"×")*3</f>
        <v>0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7"/>
      <c r="U78" s="20">
        <f t="shared" ref="U8:U89" si="22">$U$5-V78</f>
        <v>18</v>
      </c>
      <c r="V78" s="3">
        <f t="shared" ref="V8:V89" si="23">COUNTIF(W78:AB78,"×")*3</f>
        <v>0</v>
      </c>
      <c r="W78" s="2"/>
      <c r="X78" s="2"/>
      <c r="Y78" s="2"/>
      <c r="Z78" s="2"/>
      <c r="AA78" s="2"/>
      <c r="AB78" s="7"/>
      <c r="AC78" s="20">
        <f t="shared" ref="AC8:AC89" si="24">$AC$5-AD78</f>
        <v>14</v>
      </c>
      <c r="AD78" s="3">
        <f t="shared" ref="AD8:AD89" si="25">COUNTIF(AE78:AK78,"×")*2</f>
        <v>0</v>
      </c>
      <c r="AE78" s="2"/>
      <c r="AF78" s="2"/>
      <c r="AG78" s="2"/>
      <c r="AH78" s="2"/>
      <c r="AI78" s="2"/>
      <c r="AJ78" s="2"/>
      <c r="AK78" s="7"/>
      <c r="AL78" s="20">
        <f t="shared" ref="AL8:AL89" si="26">$AL$5-AM78</f>
        <v>21</v>
      </c>
      <c r="AM78" s="3">
        <f t="shared" ref="AM8:AM89" si="27">COUNTIF(AN78:AT78,"×")*3</f>
        <v>0</v>
      </c>
      <c r="AN78" s="2"/>
      <c r="AO78" s="2"/>
      <c r="AP78" s="2"/>
      <c r="AQ78" s="2"/>
      <c r="AR78" s="2"/>
      <c r="AS78" s="2"/>
      <c r="AT78" s="7"/>
    </row>
    <row r="79" spans="1:46" x14ac:dyDescent="0.4">
      <c r="A79" s="56"/>
      <c r="B79" s="3"/>
      <c r="C79" s="12">
        <f t="shared" si="19"/>
        <v>100</v>
      </c>
      <c r="D79" s="17"/>
      <c r="E79" s="15">
        <f t="shared" si="20"/>
        <v>42</v>
      </c>
      <c r="F79" s="3">
        <f t="shared" si="21"/>
        <v>0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7"/>
      <c r="U79" s="20">
        <f t="shared" si="22"/>
        <v>18</v>
      </c>
      <c r="V79" s="3">
        <f t="shared" si="23"/>
        <v>0</v>
      </c>
      <c r="W79" s="2"/>
      <c r="X79" s="2"/>
      <c r="Y79" s="2"/>
      <c r="Z79" s="2"/>
      <c r="AA79" s="2"/>
      <c r="AB79" s="7"/>
      <c r="AC79" s="20">
        <f t="shared" si="24"/>
        <v>14</v>
      </c>
      <c r="AD79" s="3">
        <f t="shared" si="25"/>
        <v>0</v>
      </c>
      <c r="AE79" s="2"/>
      <c r="AF79" s="2"/>
      <c r="AG79" s="2"/>
      <c r="AH79" s="2"/>
      <c r="AI79" s="2"/>
      <c r="AJ79" s="2"/>
      <c r="AK79" s="7"/>
      <c r="AL79" s="20">
        <f t="shared" si="26"/>
        <v>21</v>
      </c>
      <c r="AM79" s="3">
        <f t="shared" si="27"/>
        <v>0</v>
      </c>
      <c r="AN79" s="2"/>
      <c r="AO79" s="2"/>
      <c r="AP79" s="2"/>
      <c r="AQ79" s="2"/>
      <c r="AR79" s="2"/>
      <c r="AS79" s="2"/>
      <c r="AT79" s="7"/>
    </row>
    <row r="80" spans="1:46" x14ac:dyDescent="0.4">
      <c r="A80" s="56"/>
      <c r="B80" s="3"/>
      <c r="C80" s="12">
        <f t="shared" si="19"/>
        <v>100</v>
      </c>
      <c r="D80" s="17"/>
      <c r="E80" s="15">
        <f t="shared" si="20"/>
        <v>42</v>
      </c>
      <c r="F80" s="3">
        <f t="shared" si="21"/>
        <v>0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7"/>
      <c r="U80" s="20">
        <f t="shared" si="22"/>
        <v>18</v>
      </c>
      <c r="V80" s="3">
        <f t="shared" si="23"/>
        <v>0</v>
      </c>
      <c r="W80" s="2"/>
      <c r="X80" s="2"/>
      <c r="Y80" s="2"/>
      <c r="Z80" s="2"/>
      <c r="AA80" s="2"/>
      <c r="AB80" s="7"/>
      <c r="AC80" s="20">
        <f t="shared" si="24"/>
        <v>14</v>
      </c>
      <c r="AD80" s="3">
        <f t="shared" si="25"/>
        <v>0</v>
      </c>
      <c r="AE80" s="2"/>
      <c r="AF80" s="2"/>
      <c r="AG80" s="2"/>
      <c r="AH80" s="2"/>
      <c r="AI80" s="2"/>
      <c r="AJ80" s="2"/>
      <c r="AK80" s="7"/>
      <c r="AL80" s="20">
        <f t="shared" si="26"/>
        <v>21</v>
      </c>
      <c r="AM80" s="3">
        <f t="shared" si="27"/>
        <v>0</v>
      </c>
      <c r="AN80" s="2"/>
      <c r="AO80" s="2"/>
      <c r="AP80" s="2"/>
      <c r="AQ80" s="2"/>
      <c r="AR80" s="2"/>
      <c r="AS80" s="2"/>
      <c r="AT80" s="7"/>
    </row>
    <row r="81" spans="1:47" x14ac:dyDescent="0.4">
      <c r="A81" s="56"/>
      <c r="B81" s="3"/>
      <c r="C81" s="12">
        <f t="shared" si="19"/>
        <v>100</v>
      </c>
      <c r="D81" s="17"/>
      <c r="E81" s="15">
        <f t="shared" si="20"/>
        <v>42</v>
      </c>
      <c r="F81" s="3">
        <f t="shared" si="21"/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7"/>
      <c r="U81" s="20">
        <f t="shared" si="22"/>
        <v>18</v>
      </c>
      <c r="V81" s="3">
        <f t="shared" si="23"/>
        <v>0</v>
      </c>
      <c r="W81" s="2"/>
      <c r="X81" s="2"/>
      <c r="Y81" s="2"/>
      <c r="Z81" s="2"/>
      <c r="AA81" s="2"/>
      <c r="AB81" s="7"/>
      <c r="AC81" s="20">
        <f t="shared" si="24"/>
        <v>14</v>
      </c>
      <c r="AD81" s="3">
        <f t="shared" si="25"/>
        <v>0</v>
      </c>
      <c r="AE81" s="2"/>
      <c r="AF81" s="2"/>
      <c r="AG81" s="2"/>
      <c r="AH81" s="2"/>
      <c r="AI81" s="2"/>
      <c r="AJ81" s="2"/>
      <c r="AK81" s="7"/>
      <c r="AL81" s="20">
        <f t="shared" si="26"/>
        <v>21</v>
      </c>
      <c r="AM81" s="3">
        <f t="shared" si="27"/>
        <v>0</v>
      </c>
      <c r="AN81" s="2"/>
      <c r="AO81" s="2"/>
      <c r="AP81" s="2"/>
      <c r="AQ81" s="2"/>
      <c r="AR81" s="2"/>
      <c r="AS81" s="2"/>
      <c r="AT81" s="7"/>
    </row>
    <row r="82" spans="1:47" x14ac:dyDescent="0.4">
      <c r="A82" s="56"/>
      <c r="B82" s="3"/>
      <c r="C82" s="12">
        <f t="shared" si="19"/>
        <v>100</v>
      </c>
      <c r="D82" s="17"/>
      <c r="E82" s="15">
        <f t="shared" si="20"/>
        <v>42</v>
      </c>
      <c r="F82" s="3">
        <f t="shared" si="21"/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7"/>
      <c r="U82" s="20">
        <f t="shared" si="22"/>
        <v>18</v>
      </c>
      <c r="V82" s="3">
        <f t="shared" si="23"/>
        <v>0</v>
      </c>
      <c r="W82" s="2"/>
      <c r="X82" s="2"/>
      <c r="Y82" s="2"/>
      <c r="Z82" s="2"/>
      <c r="AA82" s="2"/>
      <c r="AB82" s="7"/>
      <c r="AC82" s="20">
        <f t="shared" si="24"/>
        <v>14</v>
      </c>
      <c r="AD82" s="3">
        <f t="shared" si="25"/>
        <v>0</v>
      </c>
      <c r="AE82" s="2"/>
      <c r="AF82" s="2"/>
      <c r="AG82" s="2"/>
      <c r="AH82" s="2"/>
      <c r="AI82" s="2"/>
      <c r="AJ82" s="2"/>
      <c r="AK82" s="7"/>
      <c r="AL82" s="20">
        <f t="shared" si="26"/>
        <v>21</v>
      </c>
      <c r="AM82" s="3">
        <f t="shared" si="27"/>
        <v>0</v>
      </c>
      <c r="AN82" s="2"/>
      <c r="AO82" s="2"/>
      <c r="AP82" s="2"/>
      <c r="AQ82" s="2"/>
      <c r="AR82" s="2"/>
      <c r="AS82" s="2"/>
      <c r="AT82" s="7"/>
    </row>
    <row r="83" spans="1:47" x14ac:dyDescent="0.4">
      <c r="A83" s="56"/>
      <c r="B83" s="3"/>
      <c r="C83" s="12">
        <f t="shared" si="19"/>
        <v>100</v>
      </c>
      <c r="D83" s="17"/>
      <c r="E83" s="15">
        <f t="shared" si="20"/>
        <v>42</v>
      </c>
      <c r="F83" s="3">
        <f t="shared" si="21"/>
        <v>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7"/>
      <c r="U83" s="20">
        <f t="shared" si="22"/>
        <v>18</v>
      </c>
      <c r="V83" s="3">
        <f t="shared" si="23"/>
        <v>0</v>
      </c>
      <c r="W83" s="2"/>
      <c r="X83" s="2"/>
      <c r="Y83" s="2"/>
      <c r="Z83" s="2"/>
      <c r="AA83" s="2"/>
      <c r="AB83" s="7"/>
      <c r="AC83" s="20">
        <f t="shared" si="24"/>
        <v>14</v>
      </c>
      <c r="AD83" s="3">
        <f t="shared" si="25"/>
        <v>0</v>
      </c>
      <c r="AE83" s="2"/>
      <c r="AF83" s="2"/>
      <c r="AG83" s="2"/>
      <c r="AH83" s="2"/>
      <c r="AI83" s="2"/>
      <c r="AJ83" s="2"/>
      <c r="AK83" s="7"/>
      <c r="AL83" s="20">
        <f t="shared" si="26"/>
        <v>21</v>
      </c>
      <c r="AM83" s="3">
        <f t="shared" si="27"/>
        <v>0</v>
      </c>
      <c r="AN83" s="2"/>
      <c r="AO83" s="2"/>
      <c r="AP83" s="2"/>
      <c r="AQ83" s="2"/>
      <c r="AR83" s="2"/>
      <c r="AS83" s="2"/>
      <c r="AT83" s="7"/>
    </row>
    <row r="84" spans="1:47" x14ac:dyDescent="0.4">
      <c r="A84" s="56"/>
      <c r="B84" s="3"/>
      <c r="C84" s="12">
        <f t="shared" si="19"/>
        <v>100</v>
      </c>
      <c r="D84" s="17"/>
      <c r="E84" s="15">
        <f t="shared" si="20"/>
        <v>42</v>
      </c>
      <c r="F84" s="3">
        <f t="shared" si="21"/>
        <v>0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7"/>
      <c r="U84" s="20">
        <f t="shared" si="22"/>
        <v>18</v>
      </c>
      <c r="V84" s="3">
        <f t="shared" si="23"/>
        <v>0</v>
      </c>
      <c r="W84" s="2"/>
      <c r="X84" s="2"/>
      <c r="Y84" s="2"/>
      <c r="Z84" s="2"/>
      <c r="AA84" s="2"/>
      <c r="AB84" s="7"/>
      <c r="AC84" s="20">
        <f t="shared" si="24"/>
        <v>14</v>
      </c>
      <c r="AD84" s="3">
        <f t="shared" si="25"/>
        <v>0</v>
      </c>
      <c r="AE84" s="2"/>
      <c r="AF84" s="2"/>
      <c r="AG84" s="2"/>
      <c r="AH84" s="2"/>
      <c r="AI84" s="2"/>
      <c r="AJ84" s="2"/>
      <c r="AK84" s="7"/>
      <c r="AL84" s="20">
        <f t="shared" si="26"/>
        <v>21</v>
      </c>
      <c r="AM84" s="3">
        <f t="shared" si="27"/>
        <v>0</v>
      </c>
      <c r="AN84" s="2"/>
      <c r="AO84" s="2"/>
      <c r="AP84" s="2"/>
      <c r="AQ84" s="2"/>
      <c r="AR84" s="2"/>
      <c r="AS84" s="2"/>
      <c r="AT84" s="7"/>
    </row>
    <row r="85" spans="1:47" x14ac:dyDescent="0.4">
      <c r="A85" s="56"/>
      <c r="B85" s="3"/>
      <c r="C85" s="12">
        <f t="shared" si="19"/>
        <v>100</v>
      </c>
      <c r="D85" s="17"/>
      <c r="E85" s="15">
        <f t="shared" si="20"/>
        <v>42</v>
      </c>
      <c r="F85" s="3">
        <f t="shared" si="21"/>
        <v>0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7"/>
      <c r="U85" s="20">
        <f t="shared" si="22"/>
        <v>18</v>
      </c>
      <c r="V85" s="3">
        <f t="shared" si="23"/>
        <v>0</v>
      </c>
      <c r="W85" s="2"/>
      <c r="X85" s="2"/>
      <c r="Y85" s="2"/>
      <c r="Z85" s="2"/>
      <c r="AA85" s="2"/>
      <c r="AB85" s="7"/>
      <c r="AC85" s="20">
        <f t="shared" si="24"/>
        <v>14</v>
      </c>
      <c r="AD85" s="3">
        <f t="shared" si="25"/>
        <v>0</v>
      </c>
      <c r="AE85" s="2"/>
      <c r="AF85" s="2"/>
      <c r="AG85" s="2"/>
      <c r="AH85" s="2"/>
      <c r="AI85" s="2"/>
      <c r="AJ85" s="2"/>
      <c r="AK85" s="7"/>
      <c r="AL85" s="20">
        <f t="shared" si="26"/>
        <v>21</v>
      </c>
      <c r="AM85" s="3">
        <f t="shared" si="27"/>
        <v>0</v>
      </c>
      <c r="AN85" s="2"/>
      <c r="AO85" s="2"/>
      <c r="AP85" s="2"/>
      <c r="AQ85" s="2"/>
      <c r="AR85" s="2"/>
      <c r="AS85" s="2"/>
      <c r="AT85" s="7"/>
    </row>
    <row r="86" spans="1:47" x14ac:dyDescent="0.4">
      <c r="A86" s="56"/>
      <c r="B86" s="3"/>
      <c r="C86" s="12">
        <f t="shared" si="19"/>
        <v>100</v>
      </c>
      <c r="D86" s="17"/>
      <c r="E86" s="15">
        <f t="shared" si="20"/>
        <v>42</v>
      </c>
      <c r="F86" s="3">
        <f t="shared" si="21"/>
        <v>0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7"/>
      <c r="U86" s="20">
        <f t="shared" si="22"/>
        <v>18</v>
      </c>
      <c r="V86" s="3">
        <f t="shared" si="23"/>
        <v>0</v>
      </c>
      <c r="W86" s="2"/>
      <c r="X86" s="2"/>
      <c r="Y86" s="2"/>
      <c r="Z86" s="2"/>
      <c r="AA86" s="2"/>
      <c r="AB86" s="7"/>
      <c r="AC86" s="20">
        <f t="shared" si="24"/>
        <v>14</v>
      </c>
      <c r="AD86" s="3">
        <f t="shared" si="25"/>
        <v>0</v>
      </c>
      <c r="AE86" s="2"/>
      <c r="AF86" s="2"/>
      <c r="AG86" s="2"/>
      <c r="AH86" s="2"/>
      <c r="AI86" s="2"/>
      <c r="AJ86" s="2"/>
      <c r="AK86" s="7"/>
      <c r="AL86" s="20">
        <f t="shared" si="26"/>
        <v>21</v>
      </c>
      <c r="AM86" s="3">
        <f t="shared" si="27"/>
        <v>0</v>
      </c>
      <c r="AN86" s="2"/>
      <c r="AO86" s="2"/>
      <c r="AP86" s="2"/>
      <c r="AQ86" s="2"/>
      <c r="AR86" s="2"/>
      <c r="AS86" s="2"/>
      <c r="AT86" s="7"/>
    </row>
    <row r="87" spans="1:47" ht="17.25" thickBot="1" x14ac:dyDescent="0.45">
      <c r="A87" s="57"/>
      <c r="B87" s="5"/>
      <c r="C87" s="13">
        <f t="shared" si="19"/>
        <v>100</v>
      </c>
      <c r="D87" s="18"/>
      <c r="E87" s="6">
        <f t="shared" si="20"/>
        <v>42</v>
      </c>
      <c r="F87" s="5">
        <f t="shared" si="2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22"/>
      <c r="U87" s="8">
        <f t="shared" si="22"/>
        <v>18</v>
      </c>
      <c r="V87" s="5">
        <f t="shared" si="23"/>
        <v>0</v>
      </c>
      <c r="W87" s="4"/>
      <c r="X87" s="4"/>
      <c r="Y87" s="4"/>
      <c r="Z87" s="4"/>
      <c r="AA87" s="4"/>
      <c r="AB87" s="22"/>
      <c r="AC87" s="8">
        <f t="shared" si="24"/>
        <v>14</v>
      </c>
      <c r="AD87" s="5">
        <f t="shared" si="25"/>
        <v>0</v>
      </c>
      <c r="AE87" s="4"/>
      <c r="AF87" s="4"/>
      <c r="AG87" s="4"/>
      <c r="AH87" s="4"/>
      <c r="AI87" s="4"/>
      <c r="AJ87" s="4"/>
      <c r="AK87" s="22"/>
      <c r="AL87" s="8">
        <f t="shared" si="26"/>
        <v>21</v>
      </c>
      <c r="AM87" s="5">
        <f t="shared" si="27"/>
        <v>0</v>
      </c>
      <c r="AN87" s="4"/>
      <c r="AO87" s="4"/>
      <c r="AP87" s="4"/>
      <c r="AQ87" s="4"/>
      <c r="AR87" s="4"/>
      <c r="AS87" s="4"/>
      <c r="AT87" s="22"/>
    </row>
    <row r="88" spans="1:47" x14ac:dyDescent="0.4">
      <c r="A88" s="42"/>
      <c r="B88" s="43"/>
      <c r="C88" s="44">
        <f t="shared" si="19"/>
        <v>100</v>
      </c>
      <c r="D88" s="45"/>
      <c r="E88" s="46">
        <f t="shared" si="20"/>
        <v>42</v>
      </c>
      <c r="F88" s="43">
        <f t="shared" ref="F88" si="28">COUNTIF(G88:T88,"×")*3</f>
        <v>0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8"/>
      <c r="U88" s="42">
        <f t="shared" si="22"/>
        <v>18</v>
      </c>
      <c r="V88" s="43">
        <f t="shared" si="23"/>
        <v>0</v>
      </c>
      <c r="W88" s="47"/>
      <c r="X88" s="47"/>
      <c r="Y88" s="47"/>
      <c r="Z88" s="47"/>
      <c r="AA88" s="47"/>
      <c r="AB88" s="48"/>
      <c r="AC88" s="42">
        <f t="shared" si="24"/>
        <v>14</v>
      </c>
      <c r="AD88" s="43">
        <f t="shared" si="25"/>
        <v>0</v>
      </c>
      <c r="AE88" s="47"/>
      <c r="AF88" s="47"/>
      <c r="AG88" s="47"/>
      <c r="AH88" s="47"/>
      <c r="AI88" s="47"/>
      <c r="AJ88" s="47"/>
      <c r="AK88" s="48"/>
      <c r="AL88" s="42">
        <f t="shared" si="26"/>
        <v>21</v>
      </c>
      <c r="AM88" s="43">
        <f t="shared" si="27"/>
        <v>0</v>
      </c>
      <c r="AN88" s="47"/>
      <c r="AO88" s="47"/>
      <c r="AP88" s="47"/>
      <c r="AQ88" s="47"/>
      <c r="AR88" s="47"/>
      <c r="AS88" s="47"/>
      <c r="AT88" s="48"/>
      <c r="AU88" s="1" t="s">
        <v>6</v>
      </c>
    </row>
    <row r="89" spans="1:47" ht="17.25" thickBot="1" x14ac:dyDescent="0.45">
      <c r="A89" s="8"/>
      <c r="B89" s="5"/>
      <c r="C89" s="13">
        <f t="shared" si="19"/>
        <v>100</v>
      </c>
      <c r="D89" s="18"/>
      <c r="E89" s="6">
        <f t="shared" si="20"/>
        <v>42</v>
      </c>
      <c r="F89" s="5">
        <f>COUNTIF(G89:T89,"×")*3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22"/>
      <c r="U89" s="8">
        <f t="shared" si="22"/>
        <v>18</v>
      </c>
      <c r="V89" s="5">
        <f t="shared" si="23"/>
        <v>0</v>
      </c>
      <c r="W89" s="4"/>
      <c r="X89" s="4"/>
      <c r="Y89" s="4"/>
      <c r="Z89" s="4"/>
      <c r="AA89" s="4"/>
      <c r="AB89" s="22"/>
      <c r="AC89" s="8">
        <f t="shared" si="24"/>
        <v>14</v>
      </c>
      <c r="AD89" s="5">
        <f t="shared" si="25"/>
        <v>0</v>
      </c>
      <c r="AE89" s="4"/>
      <c r="AF89" s="4"/>
      <c r="AG89" s="4"/>
      <c r="AH89" s="4"/>
      <c r="AI89" s="4"/>
      <c r="AJ89" s="4"/>
      <c r="AK89" s="22"/>
      <c r="AL89" s="8">
        <f t="shared" si="26"/>
        <v>21</v>
      </c>
      <c r="AM89" s="5">
        <f t="shared" si="27"/>
        <v>0</v>
      </c>
      <c r="AN89" s="4"/>
      <c r="AO89" s="4"/>
      <c r="AP89" s="4"/>
      <c r="AQ89" s="4"/>
      <c r="AR89" s="4"/>
      <c r="AS89" s="4"/>
      <c r="AT89" s="22"/>
      <c r="AU89" s="1">
        <f>AVERAGE(AU8:AU87)</f>
        <v>75.625</v>
      </c>
    </row>
  </sheetData>
  <sortState xmlns:xlrd2="http://schemas.microsoft.com/office/spreadsheetml/2017/richdata2" ref="A8:AT76">
    <sortCondition ref="D8:D76"/>
    <sortCondition ref="A8:A76"/>
  </sortState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conditionalFormatting sqref="AU8:AU47">
    <cfRule type="cellIs" dxfId="0" priority="1" operator="lessThan">
      <formula>44</formula>
    </cfRule>
  </conditionalFormatting>
  <dataValidations count="1">
    <dataValidation type="list" allowBlank="1" showInputMessage="1" showErrorMessage="1" sqref="G6:T89 W6:AB89 AE6:AK89 AN6:AT89" xr:uid="{9CE4A30D-F3CA-4FC4-B27A-A692B32F72DE}">
      <formula1>"〇,×"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2" workbookViewId="0">
      <selection activeCell="E1" sqref="E1:F29"/>
    </sheetView>
  </sheetViews>
  <sheetFormatPr defaultRowHeight="18.75" x14ac:dyDescent="0.4"/>
  <sheetData>
    <row r="1" spans="1:6" x14ac:dyDescent="0.4">
      <c r="A1">
        <v>22014</v>
      </c>
      <c r="B1" t="s">
        <v>148</v>
      </c>
      <c r="E1">
        <v>21083</v>
      </c>
      <c r="F1" t="s">
        <v>293</v>
      </c>
    </row>
    <row r="2" spans="1:6" x14ac:dyDescent="0.4">
      <c r="A2">
        <v>22016</v>
      </c>
      <c r="B2" t="s">
        <v>149</v>
      </c>
      <c r="E2">
        <v>22001</v>
      </c>
      <c r="F2" t="s">
        <v>294</v>
      </c>
    </row>
    <row r="3" spans="1:6" x14ac:dyDescent="0.4">
      <c r="A3">
        <v>22018</v>
      </c>
      <c r="B3" t="s">
        <v>150</v>
      </c>
      <c r="E3">
        <v>22004</v>
      </c>
      <c r="F3" t="s">
        <v>295</v>
      </c>
    </row>
    <row r="4" spans="1:6" x14ac:dyDescent="0.4">
      <c r="A4">
        <v>22019</v>
      </c>
      <c r="B4" t="s">
        <v>151</v>
      </c>
      <c r="E4">
        <v>22005</v>
      </c>
      <c r="F4" t="s">
        <v>296</v>
      </c>
    </row>
    <row r="5" spans="1:6" x14ac:dyDescent="0.4">
      <c r="A5">
        <v>22020</v>
      </c>
      <c r="B5" t="s">
        <v>152</v>
      </c>
      <c r="E5">
        <v>22011</v>
      </c>
      <c r="F5" t="s">
        <v>297</v>
      </c>
    </row>
    <row r="6" spans="1:6" x14ac:dyDescent="0.4">
      <c r="A6">
        <v>22021</v>
      </c>
      <c r="B6" t="s">
        <v>153</v>
      </c>
      <c r="E6">
        <v>22024</v>
      </c>
      <c r="F6" t="s">
        <v>298</v>
      </c>
    </row>
    <row r="7" spans="1:6" x14ac:dyDescent="0.4">
      <c r="A7">
        <v>22032</v>
      </c>
      <c r="B7" t="s">
        <v>154</v>
      </c>
      <c r="E7">
        <v>22025</v>
      </c>
      <c r="F7" t="s">
        <v>299</v>
      </c>
    </row>
    <row r="8" spans="1:6" x14ac:dyDescent="0.4">
      <c r="A8">
        <v>22033</v>
      </c>
      <c r="B8" t="s">
        <v>155</v>
      </c>
      <c r="E8">
        <v>22026</v>
      </c>
      <c r="F8" t="s">
        <v>300</v>
      </c>
    </row>
    <row r="9" spans="1:6" x14ac:dyDescent="0.4">
      <c r="A9">
        <v>22037</v>
      </c>
      <c r="B9" t="s">
        <v>156</v>
      </c>
      <c r="E9">
        <v>22027</v>
      </c>
      <c r="F9" t="s">
        <v>301</v>
      </c>
    </row>
    <row r="10" spans="1:6" x14ac:dyDescent="0.4">
      <c r="A10">
        <v>22039</v>
      </c>
      <c r="B10" t="s">
        <v>157</v>
      </c>
      <c r="E10">
        <v>22028</v>
      </c>
      <c r="F10" t="s">
        <v>302</v>
      </c>
    </row>
    <row r="11" spans="1:6" x14ac:dyDescent="0.4">
      <c r="A11">
        <v>22040</v>
      </c>
      <c r="B11" t="s">
        <v>158</v>
      </c>
      <c r="E11">
        <v>22034</v>
      </c>
      <c r="F11" t="s">
        <v>303</v>
      </c>
    </row>
    <row r="12" spans="1:6" x14ac:dyDescent="0.4">
      <c r="A12">
        <v>22045</v>
      </c>
      <c r="B12" t="s">
        <v>159</v>
      </c>
      <c r="E12">
        <v>22041</v>
      </c>
      <c r="F12" t="s">
        <v>304</v>
      </c>
    </row>
    <row r="13" spans="1:6" x14ac:dyDescent="0.4">
      <c r="A13">
        <v>22046</v>
      </c>
      <c r="B13" t="s">
        <v>160</v>
      </c>
      <c r="E13">
        <v>22075</v>
      </c>
      <c r="F13" t="s">
        <v>305</v>
      </c>
    </row>
    <row r="14" spans="1:6" x14ac:dyDescent="0.4">
      <c r="A14">
        <v>22047</v>
      </c>
      <c r="B14" t="s">
        <v>161</v>
      </c>
      <c r="E14">
        <v>22090</v>
      </c>
      <c r="F14" t="s">
        <v>306</v>
      </c>
    </row>
    <row r="15" spans="1:6" x14ac:dyDescent="0.4">
      <c r="A15">
        <v>22048</v>
      </c>
      <c r="B15" t="s">
        <v>162</v>
      </c>
      <c r="E15">
        <v>22097</v>
      </c>
      <c r="F15" t="s">
        <v>307</v>
      </c>
    </row>
    <row r="16" spans="1:6" x14ac:dyDescent="0.4">
      <c r="A16">
        <v>22049</v>
      </c>
      <c r="B16" t="s">
        <v>163</v>
      </c>
      <c r="E16">
        <v>22102</v>
      </c>
      <c r="F16" t="s">
        <v>308</v>
      </c>
    </row>
    <row r="17" spans="1:6" x14ac:dyDescent="0.4">
      <c r="A17">
        <v>22050</v>
      </c>
      <c r="B17" t="s">
        <v>164</v>
      </c>
      <c r="E17">
        <v>22115</v>
      </c>
      <c r="F17" t="s">
        <v>309</v>
      </c>
    </row>
    <row r="18" spans="1:6" x14ac:dyDescent="0.4">
      <c r="A18">
        <v>22051</v>
      </c>
      <c r="B18" t="s">
        <v>165</v>
      </c>
      <c r="E18">
        <v>22117</v>
      </c>
      <c r="F18" t="s">
        <v>310</v>
      </c>
    </row>
    <row r="19" spans="1:6" x14ac:dyDescent="0.4">
      <c r="A19">
        <v>22052</v>
      </c>
      <c r="B19" t="s">
        <v>166</v>
      </c>
      <c r="E19">
        <v>22121</v>
      </c>
      <c r="F19" t="s">
        <v>63</v>
      </c>
    </row>
    <row r="20" spans="1:6" x14ac:dyDescent="0.4">
      <c r="A20">
        <v>22053</v>
      </c>
      <c r="B20" t="s">
        <v>167</v>
      </c>
      <c r="E20">
        <v>22006</v>
      </c>
      <c r="F20" t="s">
        <v>311</v>
      </c>
    </row>
    <row r="21" spans="1:6" x14ac:dyDescent="0.4">
      <c r="A21">
        <v>22054</v>
      </c>
      <c r="B21" t="s">
        <v>168</v>
      </c>
      <c r="E21">
        <v>22012</v>
      </c>
      <c r="F21" t="s">
        <v>312</v>
      </c>
    </row>
    <row r="22" spans="1:6" x14ac:dyDescent="0.4">
      <c r="A22">
        <v>22055</v>
      </c>
      <c r="B22" t="s">
        <v>169</v>
      </c>
      <c r="E22">
        <v>22035</v>
      </c>
      <c r="F22" t="s">
        <v>313</v>
      </c>
    </row>
    <row r="23" spans="1:6" x14ac:dyDescent="0.4">
      <c r="A23">
        <v>22057</v>
      </c>
      <c r="B23" t="s">
        <v>170</v>
      </c>
      <c r="E23">
        <v>22036</v>
      </c>
      <c r="F23" t="s">
        <v>314</v>
      </c>
    </row>
    <row r="24" spans="1:6" x14ac:dyDescent="0.4">
      <c r="A24">
        <v>22058</v>
      </c>
      <c r="B24" t="s">
        <v>171</v>
      </c>
      <c r="E24">
        <v>22044</v>
      </c>
      <c r="F24" t="s">
        <v>315</v>
      </c>
    </row>
    <row r="25" spans="1:6" x14ac:dyDescent="0.4">
      <c r="A25">
        <v>22059</v>
      </c>
      <c r="B25" t="s">
        <v>172</v>
      </c>
      <c r="E25">
        <v>22088</v>
      </c>
      <c r="F25" t="s">
        <v>316</v>
      </c>
    </row>
    <row r="26" spans="1:6" x14ac:dyDescent="0.4">
      <c r="A26">
        <v>22064</v>
      </c>
      <c r="B26" t="s">
        <v>173</v>
      </c>
      <c r="E26">
        <v>22089</v>
      </c>
      <c r="F26" t="s">
        <v>317</v>
      </c>
    </row>
    <row r="27" spans="1:6" x14ac:dyDescent="0.4">
      <c r="A27">
        <v>22065</v>
      </c>
      <c r="B27" t="s">
        <v>174</v>
      </c>
      <c r="E27">
        <v>22105</v>
      </c>
      <c r="F27" t="s">
        <v>318</v>
      </c>
    </row>
    <row r="28" spans="1:6" x14ac:dyDescent="0.4">
      <c r="A28">
        <v>22066</v>
      </c>
      <c r="B28" t="s">
        <v>175</v>
      </c>
      <c r="E28">
        <v>22106</v>
      </c>
      <c r="F28" t="s">
        <v>319</v>
      </c>
    </row>
    <row r="29" spans="1:6" x14ac:dyDescent="0.4">
      <c r="A29">
        <v>22067</v>
      </c>
      <c r="B29" t="s">
        <v>176</v>
      </c>
      <c r="E29">
        <v>22118</v>
      </c>
      <c r="F29" t="s">
        <v>320</v>
      </c>
    </row>
    <row r="30" spans="1:6" x14ac:dyDescent="0.4">
      <c r="A30">
        <v>22070</v>
      </c>
      <c r="B30" t="s">
        <v>177</v>
      </c>
    </row>
    <row r="31" spans="1:6" x14ac:dyDescent="0.4">
      <c r="A31">
        <v>22071</v>
      </c>
      <c r="B31" t="s">
        <v>178</v>
      </c>
    </row>
    <row r="32" spans="1:6" x14ac:dyDescent="0.4">
      <c r="A32">
        <v>22072</v>
      </c>
      <c r="B32" t="s">
        <v>179</v>
      </c>
    </row>
    <row r="33" spans="1:2" x14ac:dyDescent="0.4">
      <c r="A33">
        <v>22073</v>
      </c>
      <c r="B33" t="s">
        <v>180</v>
      </c>
    </row>
    <row r="34" spans="1:2" x14ac:dyDescent="0.4">
      <c r="A34">
        <v>22080</v>
      </c>
      <c r="B34" t="s">
        <v>181</v>
      </c>
    </row>
    <row r="35" spans="1:2" x14ac:dyDescent="0.4">
      <c r="A35">
        <v>22081</v>
      </c>
      <c r="B35" t="s">
        <v>182</v>
      </c>
    </row>
    <row r="36" spans="1:2" x14ac:dyDescent="0.4">
      <c r="A36">
        <v>22085</v>
      </c>
      <c r="B36" t="s">
        <v>183</v>
      </c>
    </row>
    <row r="37" spans="1:2" x14ac:dyDescent="0.4">
      <c r="A37">
        <v>22086</v>
      </c>
      <c r="B37" t="s">
        <v>184</v>
      </c>
    </row>
    <row r="38" spans="1:2" x14ac:dyDescent="0.4">
      <c r="A38">
        <v>22087</v>
      </c>
      <c r="B38" t="s">
        <v>185</v>
      </c>
    </row>
    <row r="39" spans="1:2" x14ac:dyDescent="0.4">
      <c r="A39">
        <v>22114</v>
      </c>
      <c r="B39" t="s">
        <v>186</v>
      </c>
    </row>
    <row r="40" spans="1:2" x14ac:dyDescent="0.4">
      <c r="A40">
        <v>22116</v>
      </c>
      <c r="B40" t="s">
        <v>187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CB31-6FB4-4B60-AD88-11CE6F44F891}">
  <sheetPr>
    <pageSetUpPr fitToPage="1"/>
  </sheetPr>
  <dimension ref="A1:R124"/>
  <sheetViews>
    <sheetView view="pageBreakPreview" topLeftCell="A102" zoomScale="90" zoomScaleNormal="90" zoomScaleSheetLayoutView="90" workbookViewId="0">
      <selection activeCell="B103" sqref="B103"/>
    </sheetView>
  </sheetViews>
  <sheetFormatPr defaultRowHeight="18.75" x14ac:dyDescent="0.4"/>
  <sheetData>
    <row r="1" spans="1:16" ht="30" x14ac:dyDescent="0.4">
      <c r="B1" s="83" t="s">
        <v>325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 t="s">
        <v>326</v>
      </c>
      <c r="O1" s="84"/>
      <c r="P1" s="84"/>
    </row>
    <row r="2" spans="1:16" ht="13.5" customHeight="1" x14ac:dyDescent="0.4">
      <c r="N2" s="84"/>
      <c r="O2" s="84"/>
      <c r="P2" s="84"/>
    </row>
    <row r="3" spans="1:16" ht="18.600000000000001" customHeight="1" x14ac:dyDescent="0.4">
      <c r="A3" s="85" t="s">
        <v>1</v>
      </c>
      <c r="E3" s="86" t="s">
        <v>327</v>
      </c>
      <c r="G3" s="87" t="s">
        <v>328</v>
      </c>
      <c r="H3" s="87"/>
      <c r="J3" s="86" t="s">
        <v>329</v>
      </c>
      <c r="N3" s="84"/>
      <c r="O3" s="84"/>
      <c r="P3" s="84"/>
    </row>
    <row r="4" spans="1:16" ht="18" customHeight="1" x14ac:dyDescent="0.4">
      <c r="N4" s="84"/>
      <c r="O4" s="84"/>
      <c r="P4" s="84"/>
    </row>
    <row r="5" spans="1:16" ht="18" customHeight="1" x14ac:dyDescent="0.4">
      <c r="N5" s="84"/>
      <c r="O5" s="84"/>
      <c r="P5" s="84"/>
    </row>
    <row r="16" spans="1:16" ht="19.5" x14ac:dyDescent="0.4">
      <c r="O16" s="88" t="s">
        <v>8</v>
      </c>
      <c r="P16" s="88"/>
    </row>
    <row r="25" spans="3:16" x14ac:dyDescent="0.4">
      <c r="D25" s="89" t="s">
        <v>330</v>
      </c>
    </row>
    <row r="26" spans="3:16" ht="19.5" customHeight="1" x14ac:dyDescent="0.4">
      <c r="C26" s="86" t="s">
        <v>331</v>
      </c>
      <c r="H26" s="90" t="s">
        <v>332</v>
      </c>
      <c r="L26" s="91" t="s">
        <v>333</v>
      </c>
      <c r="M26" s="91"/>
      <c r="N26" s="91"/>
      <c r="O26" s="91"/>
      <c r="P26" s="91"/>
    </row>
    <row r="27" spans="3:16" ht="13.5" customHeight="1" x14ac:dyDescent="0.4">
      <c r="L27" s="91"/>
      <c r="M27" s="91"/>
      <c r="N27" s="91"/>
      <c r="O27" s="91"/>
      <c r="P27" s="91"/>
    </row>
    <row r="28" spans="3:16" ht="13.5" customHeight="1" x14ac:dyDescent="0.4">
      <c r="L28" s="91"/>
      <c r="M28" s="91"/>
      <c r="N28" s="91"/>
      <c r="O28" s="91"/>
      <c r="P28" s="91"/>
    </row>
    <row r="29" spans="3:16" ht="19.5" customHeight="1" x14ac:dyDescent="0.4">
      <c r="L29" s="91"/>
      <c r="M29" s="91"/>
      <c r="N29" s="91"/>
      <c r="O29" s="91"/>
      <c r="P29" s="91"/>
    </row>
    <row r="30" spans="3:16" ht="19.5" x14ac:dyDescent="0.4">
      <c r="L30" s="92"/>
      <c r="M30" s="92"/>
      <c r="N30" s="92"/>
      <c r="O30" s="92"/>
      <c r="P30" s="92"/>
    </row>
    <row r="31" spans="3:16" ht="19.5" x14ac:dyDescent="0.4">
      <c r="L31" s="92"/>
      <c r="M31" s="92"/>
      <c r="N31" s="92"/>
      <c r="O31" s="92"/>
      <c r="P31" s="92"/>
    </row>
    <row r="32" spans="3:16" ht="19.5" x14ac:dyDescent="0.4">
      <c r="L32" s="92"/>
      <c r="M32" s="92"/>
      <c r="N32" s="92"/>
      <c r="O32" s="92"/>
      <c r="P32" s="92"/>
    </row>
    <row r="33" spans="1:16" ht="19.5" x14ac:dyDescent="0.4">
      <c r="L33" s="92"/>
      <c r="M33" s="92"/>
      <c r="N33" s="92"/>
      <c r="O33" s="92"/>
      <c r="P33" s="92"/>
    </row>
    <row r="34" spans="1:16" ht="19.5" x14ac:dyDescent="0.4">
      <c r="L34" s="92"/>
      <c r="M34" s="92"/>
      <c r="N34" s="92"/>
      <c r="O34" s="92"/>
      <c r="P34" s="92"/>
    </row>
    <row r="35" spans="1:16" ht="24" x14ac:dyDescent="0.4">
      <c r="A35" s="85" t="s">
        <v>34</v>
      </c>
    </row>
    <row r="51" spans="3:18" ht="18.600000000000001" customHeight="1" x14ac:dyDescent="0.4">
      <c r="P51" s="87" t="s">
        <v>334</v>
      </c>
      <c r="Q51" s="87"/>
      <c r="R51" s="87"/>
    </row>
    <row r="52" spans="3:18" x14ac:dyDescent="0.4">
      <c r="P52" s="87"/>
      <c r="Q52" s="87"/>
      <c r="R52" s="87"/>
    </row>
    <row r="64" spans="3:18" ht="19.5" x14ac:dyDescent="0.4">
      <c r="C64" s="90" t="s">
        <v>335</v>
      </c>
      <c r="G64" s="84" t="s">
        <v>336</v>
      </c>
      <c r="H64" s="87"/>
      <c r="I64" s="87"/>
      <c r="J64" s="87"/>
    </row>
    <row r="65" spans="1:10" x14ac:dyDescent="0.4">
      <c r="G65" s="87"/>
      <c r="H65" s="87"/>
      <c r="I65" s="87"/>
      <c r="J65" s="87"/>
    </row>
    <row r="67" spans="1:10" ht="24" x14ac:dyDescent="0.4">
      <c r="A67" s="85" t="s">
        <v>43</v>
      </c>
      <c r="E67" s="88" t="s">
        <v>337</v>
      </c>
      <c r="F67" s="88"/>
      <c r="G67" s="88"/>
      <c r="H67" s="88"/>
    </row>
    <row r="68" spans="1:10" x14ac:dyDescent="0.4">
      <c r="E68" s="88"/>
      <c r="F68" s="88"/>
      <c r="G68" s="88"/>
      <c r="H68" s="88"/>
    </row>
    <row r="100" spans="1:13" ht="19.5" x14ac:dyDescent="0.4">
      <c r="B100" s="90" t="s">
        <v>338</v>
      </c>
      <c r="F100" s="84" t="s">
        <v>339</v>
      </c>
      <c r="G100" s="87"/>
      <c r="H100" s="87"/>
      <c r="L100" s="93" t="s">
        <v>340</v>
      </c>
    </row>
    <row r="101" spans="1:13" x14ac:dyDescent="0.4">
      <c r="F101" s="87"/>
      <c r="G101" s="87"/>
      <c r="H101" s="87"/>
    </row>
    <row r="103" spans="1:13" ht="24" x14ac:dyDescent="0.4">
      <c r="A103" s="85" t="s">
        <v>53</v>
      </c>
      <c r="B103" s="94"/>
      <c r="C103" s="94"/>
      <c r="D103" s="94"/>
      <c r="E103" s="94"/>
      <c r="F103" s="94"/>
      <c r="G103" s="94"/>
    </row>
    <row r="111" spans="1:13" x14ac:dyDescent="0.4">
      <c r="M111" s="94" t="s">
        <v>55</v>
      </c>
    </row>
    <row r="124" spans="13:13" x14ac:dyDescent="0.4">
      <c r="M124" s="94" t="s">
        <v>58</v>
      </c>
    </row>
  </sheetData>
  <mergeCells count="9">
    <mergeCell ref="G64:J65"/>
    <mergeCell ref="E67:H68"/>
    <mergeCell ref="F100:H101"/>
    <mergeCell ref="B1:M1"/>
    <mergeCell ref="N1:P5"/>
    <mergeCell ref="G3:H3"/>
    <mergeCell ref="O16:P16"/>
    <mergeCell ref="L26:P29"/>
    <mergeCell ref="P51:R52"/>
  </mergeCells>
  <phoneticPr fontId="1"/>
  <pageMargins left="0.7" right="0.7" top="0.75" bottom="0.75" header="0.3" footer="0.3"/>
  <pageSetup paperSize="9" scale="70" fitToHeight="0" orientation="landscape" horizontalDpi="300" verticalDpi="300" r:id="rId1"/>
  <rowBreaks count="3" manualBreakCount="3">
    <brk id="34" max="16383" man="1"/>
    <brk id="66" max="16383" man="1"/>
    <brk id="102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94C2B-574D-45B5-83CD-002999568142}">
  <sheetPr>
    <pageSetUpPr fitToPage="1"/>
  </sheetPr>
  <dimension ref="A1:N187"/>
  <sheetViews>
    <sheetView view="pageBreakPreview" topLeftCell="A127" zoomScale="90" zoomScaleNormal="90" zoomScaleSheetLayoutView="90" workbookViewId="0">
      <selection activeCell="B103" sqref="B103"/>
    </sheetView>
  </sheetViews>
  <sheetFormatPr defaultRowHeight="18.75" x14ac:dyDescent="0.4"/>
  <sheetData>
    <row r="1" spans="1:14" ht="24" x14ac:dyDescent="0.4">
      <c r="A1" s="95" t="s">
        <v>341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7"/>
    </row>
    <row r="2" spans="1:14" ht="24" x14ac:dyDescent="0.4">
      <c r="A2" s="98"/>
      <c r="B2" s="99" t="s">
        <v>342</v>
      </c>
      <c r="N2" s="100"/>
    </row>
    <row r="3" spans="1:14" x14ac:dyDescent="0.4">
      <c r="A3" s="98"/>
      <c r="B3" s="101" t="s">
        <v>343</v>
      </c>
      <c r="C3" s="102"/>
      <c r="D3" s="102"/>
      <c r="E3" s="102"/>
      <c r="N3" s="100"/>
    </row>
    <row r="4" spans="1:14" x14ac:dyDescent="0.4">
      <c r="A4" s="103" t="s">
        <v>19</v>
      </c>
      <c r="B4" t="s">
        <v>344</v>
      </c>
      <c r="N4" s="100"/>
    </row>
    <row r="5" spans="1:14" x14ac:dyDescent="0.4">
      <c r="A5" s="98"/>
      <c r="B5" t="s">
        <v>345</v>
      </c>
      <c r="N5" s="100"/>
    </row>
    <row r="6" spans="1:14" x14ac:dyDescent="0.4">
      <c r="A6" s="98"/>
      <c r="B6" t="s">
        <v>346</v>
      </c>
      <c r="N6" s="100"/>
    </row>
    <row r="7" spans="1:14" x14ac:dyDescent="0.4">
      <c r="A7" s="98"/>
      <c r="B7" s="104" t="s">
        <v>347</v>
      </c>
      <c r="N7" s="100"/>
    </row>
    <row r="8" spans="1:14" x14ac:dyDescent="0.4">
      <c r="A8" s="98"/>
      <c r="N8" s="100"/>
    </row>
    <row r="9" spans="1:14" x14ac:dyDescent="0.4">
      <c r="A9" s="103" t="s">
        <v>20</v>
      </c>
      <c r="B9" t="s">
        <v>348</v>
      </c>
      <c r="N9" s="100"/>
    </row>
    <row r="10" spans="1:14" x14ac:dyDescent="0.4">
      <c r="A10" s="98"/>
      <c r="B10" t="s">
        <v>349</v>
      </c>
      <c r="N10" s="100"/>
    </row>
    <row r="11" spans="1:14" x14ac:dyDescent="0.4">
      <c r="A11" s="98"/>
      <c r="B11" t="s">
        <v>350</v>
      </c>
      <c r="N11" s="100"/>
    </row>
    <row r="12" spans="1:14" x14ac:dyDescent="0.4">
      <c r="A12" s="98"/>
      <c r="N12" s="100"/>
    </row>
    <row r="13" spans="1:14" x14ac:dyDescent="0.4">
      <c r="A13" s="103" t="s">
        <v>21</v>
      </c>
      <c r="B13" t="s">
        <v>351</v>
      </c>
      <c r="N13" s="100"/>
    </row>
    <row r="14" spans="1:14" x14ac:dyDescent="0.4">
      <c r="A14" s="98"/>
      <c r="B14" t="s">
        <v>352</v>
      </c>
      <c r="N14" s="100"/>
    </row>
    <row r="15" spans="1:14" x14ac:dyDescent="0.4">
      <c r="A15" s="98"/>
      <c r="B15" t="s">
        <v>353</v>
      </c>
      <c r="N15" s="100"/>
    </row>
    <row r="16" spans="1:14" x14ac:dyDescent="0.4">
      <c r="A16" s="98"/>
      <c r="N16" s="100"/>
    </row>
    <row r="17" spans="1:14" x14ac:dyDescent="0.4">
      <c r="A17" s="105" t="s">
        <v>22</v>
      </c>
      <c r="B17" t="s">
        <v>354</v>
      </c>
      <c r="N17" s="100"/>
    </row>
    <row r="18" spans="1:14" x14ac:dyDescent="0.4">
      <c r="A18" s="98"/>
      <c r="B18" s="104" t="s">
        <v>355</v>
      </c>
      <c r="N18" s="100"/>
    </row>
    <row r="19" spans="1:14" x14ac:dyDescent="0.4">
      <c r="A19" s="98"/>
      <c r="B19" t="s">
        <v>356</v>
      </c>
      <c r="N19" s="100"/>
    </row>
    <row r="20" spans="1:14" x14ac:dyDescent="0.4">
      <c r="A20" s="98"/>
      <c r="B20" t="s">
        <v>357</v>
      </c>
      <c r="N20" s="100"/>
    </row>
    <row r="21" spans="1:14" x14ac:dyDescent="0.4">
      <c r="A21" s="98"/>
      <c r="N21" s="100"/>
    </row>
    <row r="22" spans="1:14" x14ac:dyDescent="0.4">
      <c r="A22" s="103" t="s">
        <v>23</v>
      </c>
      <c r="B22" t="s">
        <v>358</v>
      </c>
      <c r="N22" s="100"/>
    </row>
    <row r="23" spans="1:14" x14ac:dyDescent="0.4">
      <c r="A23" s="98"/>
      <c r="B23" t="s">
        <v>359</v>
      </c>
      <c r="N23" s="100"/>
    </row>
    <row r="24" spans="1:14" x14ac:dyDescent="0.4">
      <c r="A24" s="98"/>
      <c r="B24" t="s">
        <v>360</v>
      </c>
      <c r="N24" s="100"/>
    </row>
    <row r="25" spans="1:14" x14ac:dyDescent="0.4">
      <c r="A25" s="98"/>
      <c r="N25" s="100"/>
    </row>
    <row r="26" spans="1:14" x14ac:dyDescent="0.4">
      <c r="A26" s="103" t="s">
        <v>24</v>
      </c>
      <c r="B26" t="s">
        <v>361</v>
      </c>
      <c r="N26" s="100"/>
    </row>
    <row r="27" spans="1:14" x14ac:dyDescent="0.4">
      <c r="A27" s="98"/>
      <c r="B27" t="s">
        <v>362</v>
      </c>
      <c r="N27" s="100"/>
    </row>
    <row r="28" spans="1:14" x14ac:dyDescent="0.4">
      <c r="A28" s="98"/>
      <c r="B28" t="s">
        <v>363</v>
      </c>
      <c r="N28" s="100"/>
    </row>
    <row r="29" spans="1:14" x14ac:dyDescent="0.4">
      <c r="A29" s="98"/>
      <c r="B29" t="s">
        <v>364</v>
      </c>
      <c r="N29" s="100"/>
    </row>
    <row r="30" spans="1:14" x14ac:dyDescent="0.4">
      <c r="A30" s="98"/>
      <c r="N30" s="100"/>
    </row>
    <row r="31" spans="1:14" x14ac:dyDescent="0.4">
      <c r="A31" s="103" t="s">
        <v>25</v>
      </c>
      <c r="B31" t="s">
        <v>365</v>
      </c>
      <c r="N31" s="100"/>
    </row>
    <row r="32" spans="1:14" x14ac:dyDescent="0.4">
      <c r="A32" s="98"/>
      <c r="B32" t="s">
        <v>366</v>
      </c>
      <c r="N32" s="100"/>
    </row>
    <row r="33" spans="1:14" x14ac:dyDescent="0.4">
      <c r="A33" s="98"/>
      <c r="B33" t="s">
        <v>363</v>
      </c>
      <c r="N33" s="100"/>
    </row>
    <row r="34" spans="1:14" x14ac:dyDescent="0.4">
      <c r="A34" s="98"/>
      <c r="B34" t="s">
        <v>367</v>
      </c>
      <c r="N34" s="100"/>
    </row>
    <row r="35" spans="1:14" x14ac:dyDescent="0.4">
      <c r="A35" s="98"/>
      <c r="N35" s="100"/>
    </row>
    <row r="36" spans="1:14" x14ac:dyDescent="0.4">
      <c r="A36" s="103" t="s">
        <v>26</v>
      </c>
      <c r="B36" t="s">
        <v>11</v>
      </c>
      <c r="N36" s="100"/>
    </row>
    <row r="37" spans="1:14" x14ac:dyDescent="0.4">
      <c r="A37" s="98"/>
      <c r="B37" t="s">
        <v>368</v>
      </c>
      <c r="N37" s="100"/>
    </row>
    <row r="38" spans="1:14" x14ac:dyDescent="0.4">
      <c r="A38" s="98"/>
      <c r="B38" t="s">
        <v>369</v>
      </c>
      <c r="N38" s="100"/>
    </row>
    <row r="39" spans="1:14" x14ac:dyDescent="0.4">
      <c r="A39" s="98"/>
      <c r="C39" t="s">
        <v>370</v>
      </c>
      <c r="N39" s="100"/>
    </row>
    <row r="40" spans="1:14" x14ac:dyDescent="0.4">
      <c r="A40" s="98"/>
      <c r="C40" t="s">
        <v>371</v>
      </c>
      <c r="N40" s="100"/>
    </row>
    <row r="41" spans="1:14" x14ac:dyDescent="0.4">
      <c r="A41" s="98"/>
      <c r="C41" t="s">
        <v>372</v>
      </c>
      <c r="N41" s="100"/>
    </row>
    <row r="42" spans="1:14" x14ac:dyDescent="0.4">
      <c r="A42" s="98"/>
      <c r="N42" s="100"/>
    </row>
    <row r="43" spans="1:14" x14ac:dyDescent="0.4">
      <c r="A43" s="103" t="s">
        <v>27</v>
      </c>
      <c r="B43" t="s">
        <v>373</v>
      </c>
      <c r="N43" s="100"/>
    </row>
    <row r="44" spans="1:14" x14ac:dyDescent="0.4">
      <c r="A44" s="98"/>
      <c r="B44" t="s">
        <v>374</v>
      </c>
      <c r="N44" s="100"/>
    </row>
    <row r="45" spans="1:14" x14ac:dyDescent="0.4">
      <c r="A45" s="98"/>
      <c r="B45" t="s">
        <v>375</v>
      </c>
      <c r="N45" s="100"/>
    </row>
    <row r="46" spans="1:14" x14ac:dyDescent="0.4">
      <c r="A46" s="98"/>
      <c r="N46" s="100"/>
    </row>
    <row r="47" spans="1:14" x14ac:dyDescent="0.4">
      <c r="A47" s="103" t="s">
        <v>28</v>
      </c>
      <c r="B47" t="s">
        <v>376</v>
      </c>
      <c r="N47" s="100"/>
    </row>
    <row r="48" spans="1:14" x14ac:dyDescent="0.4">
      <c r="A48" s="98"/>
      <c r="B48" t="s">
        <v>377</v>
      </c>
      <c r="N48" s="100"/>
    </row>
    <row r="49" spans="1:14" x14ac:dyDescent="0.4">
      <c r="A49" s="98"/>
      <c r="B49" t="s">
        <v>378</v>
      </c>
      <c r="N49" s="100"/>
    </row>
    <row r="50" spans="1:14" x14ac:dyDescent="0.4">
      <c r="A50" s="98"/>
      <c r="N50" s="100"/>
    </row>
    <row r="51" spans="1:14" x14ac:dyDescent="0.4">
      <c r="A51" s="103" t="s">
        <v>29</v>
      </c>
      <c r="B51" t="s">
        <v>379</v>
      </c>
      <c r="N51" s="100"/>
    </row>
    <row r="52" spans="1:14" x14ac:dyDescent="0.4">
      <c r="A52" s="98"/>
      <c r="B52" t="s">
        <v>377</v>
      </c>
      <c r="N52" s="100"/>
    </row>
    <row r="53" spans="1:14" x14ac:dyDescent="0.4">
      <c r="A53" s="98"/>
      <c r="B53" t="s">
        <v>380</v>
      </c>
      <c r="N53" s="100"/>
    </row>
    <row r="54" spans="1:14" x14ac:dyDescent="0.4">
      <c r="A54" s="98"/>
      <c r="B54" t="s">
        <v>381</v>
      </c>
      <c r="N54" s="100"/>
    </row>
    <row r="55" spans="1:14" x14ac:dyDescent="0.4">
      <c r="A55" s="98"/>
      <c r="N55" s="100"/>
    </row>
    <row r="56" spans="1:14" x14ac:dyDescent="0.4">
      <c r="A56" s="103" t="s">
        <v>382</v>
      </c>
      <c r="B56" t="s">
        <v>383</v>
      </c>
      <c r="N56" s="100"/>
    </row>
    <row r="57" spans="1:14" x14ac:dyDescent="0.4">
      <c r="A57" s="98"/>
      <c r="B57" t="s">
        <v>384</v>
      </c>
      <c r="N57" s="100"/>
    </row>
    <row r="58" spans="1:14" x14ac:dyDescent="0.4">
      <c r="A58" s="98"/>
      <c r="B58" t="s">
        <v>385</v>
      </c>
      <c r="N58" s="100"/>
    </row>
    <row r="59" spans="1:14" x14ac:dyDescent="0.4">
      <c r="A59" s="98"/>
      <c r="N59" s="100"/>
    </row>
    <row r="60" spans="1:14" x14ac:dyDescent="0.4">
      <c r="A60" s="103" t="s">
        <v>386</v>
      </c>
      <c r="B60" t="s">
        <v>387</v>
      </c>
      <c r="N60" s="100"/>
    </row>
    <row r="61" spans="1:14" x14ac:dyDescent="0.4">
      <c r="A61" s="98"/>
      <c r="B61" t="s">
        <v>388</v>
      </c>
      <c r="N61" s="100"/>
    </row>
    <row r="62" spans="1:14" x14ac:dyDescent="0.4">
      <c r="A62" s="98"/>
      <c r="B62" t="s">
        <v>389</v>
      </c>
      <c r="N62" s="100"/>
    </row>
    <row r="63" spans="1:14" x14ac:dyDescent="0.4">
      <c r="A63" s="98"/>
      <c r="N63" s="100"/>
    </row>
    <row r="64" spans="1:14" x14ac:dyDescent="0.4">
      <c r="A64" s="103" t="s">
        <v>390</v>
      </c>
      <c r="B64" t="s">
        <v>391</v>
      </c>
      <c r="N64" s="100"/>
    </row>
    <row r="65" spans="1:14" x14ac:dyDescent="0.4">
      <c r="A65" s="98"/>
      <c r="B65" t="s">
        <v>392</v>
      </c>
      <c r="N65" s="100"/>
    </row>
    <row r="66" spans="1:14" x14ac:dyDescent="0.4">
      <c r="A66" s="98"/>
      <c r="B66" t="s">
        <v>393</v>
      </c>
      <c r="N66" s="100"/>
    </row>
    <row r="67" spans="1:14" x14ac:dyDescent="0.4">
      <c r="A67" s="98"/>
      <c r="B67" t="s">
        <v>394</v>
      </c>
      <c r="N67" s="100"/>
    </row>
    <row r="68" spans="1:14" x14ac:dyDescent="0.4">
      <c r="A68" s="98"/>
      <c r="B68" t="s">
        <v>395</v>
      </c>
      <c r="N68" s="100"/>
    </row>
    <row r="69" spans="1:14" x14ac:dyDescent="0.4">
      <c r="A69" s="98"/>
      <c r="B69" t="s">
        <v>396</v>
      </c>
      <c r="N69" s="100"/>
    </row>
    <row r="70" spans="1:14" x14ac:dyDescent="0.4">
      <c r="A70" s="98"/>
      <c r="N70" s="100"/>
    </row>
    <row r="71" spans="1:14" x14ac:dyDescent="0.4">
      <c r="A71" s="103" t="s">
        <v>397</v>
      </c>
      <c r="B71" t="s">
        <v>398</v>
      </c>
      <c r="N71" s="100"/>
    </row>
    <row r="72" spans="1:14" x14ac:dyDescent="0.4">
      <c r="A72" s="98"/>
      <c r="B72" t="s">
        <v>399</v>
      </c>
      <c r="N72" s="100"/>
    </row>
    <row r="73" spans="1:14" x14ac:dyDescent="0.4">
      <c r="A73" s="98"/>
      <c r="B73" t="s">
        <v>400</v>
      </c>
      <c r="N73" s="100"/>
    </row>
    <row r="74" spans="1:14" x14ac:dyDescent="0.4">
      <c r="A74" s="98"/>
      <c r="B74" t="s">
        <v>401</v>
      </c>
      <c r="N74" s="100"/>
    </row>
    <row r="75" spans="1:14" x14ac:dyDescent="0.4">
      <c r="A75" s="98"/>
      <c r="B75" t="s">
        <v>402</v>
      </c>
      <c r="N75" s="100"/>
    </row>
    <row r="76" spans="1:14" x14ac:dyDescent="0.4">
      <c r="A76" s="98"/>
      <c r="N76" s="100"/>
    </row>
    <row r="77" spans="1:14" x14ac:dyDescent="0.4">
      <c r="A77" s="103" t="s">
        <v>33</v>
      </c>
      <c r="B77" t="s">
        <v>403</v>
      </c>
      <c r="N77" s="100"/>
    </row>
    <row r="78" spans="1:14" x14ac:dyDescent="0.4">
      <c r="A78" s="98"/>
      <c r="B78" t="s">
        <v>404</v>
      </c>
      <c r="N78" s="100"/>
    </row>
    <row r="79" spans="1:14" x14ac:dyDescent="0.4">
      <c r="A79" s="98"/>
      <c r="B79" t="s">
        <v>405</v>
      </c>
      <c r="N79" s="100"/>
    </row>
    <row r="80" spans="1:14" x14ac:dyDescent="0.4">
      <c r="A80" s="98"/>
      <c r="B80" t="s">
        <v>406</v>
      </c>
      <c r="N80" s="100"/>
    </row>
    <row r="81" spans="1:14" x14ac:dyDescent="0.4">
      <c r="A81" s="98"/>
      <c r="C81" s="60" t="s">
        <v>407</v>
      </c>
      <c r="D81" t="s">
        <v>408</v>
      </c>
      <c r="N81" s="100"/>
    </row>
    <row r="82" spans="1:14" x14ac:dyDescent="0.4">
      <c r="A82" s="98"/>
      <c r="C82" s="60" t="s">
        <v>409</v>
      </c>
      <c r="D82" s="106">
        <v>116</v>
      </c>
      <c r="N82" s="100"/>
    </row>
    <row r="83" spans="1:14" x14ac:dyDescent="0.4">
      <c r="A83" s="98"/>
      <c r="C83" s="60" t="s">
        <v>410</v>
      </c>
      <c r="D83" s="106">
        <v>201</v>
      </c>
      <c r="N83" s="100"/>
    </row>
    <row r="84" spans="1:14" x14ac:dyDescent="0.4">
      <c r="A84" s="98"/>
      <c r="C84" s="60" t="s">
        <v>411</v>
      </c>
      <c r="D84" s="106">
        <v>98</v>
      </c>
      <c r="N84" s="100"/>
    </row>
    <row r="85" spans="1:14" x14ac:dyDescent="0.4">
      <c r="A85" s="98"/>
      <c r="C85" s="60" t="s">
        <v>412</v>
      </c>
      <c r="D85" s="106">
        <v>105</v>
      </c>
      <c r="N85" s="100"/>
    </row>
    <row r="86" spans="1:14" x14ac:dyDescent="0.4">
      <c r="A86" s="98"/>
      <c r="C86" s="60" t="s">
        <v>413</v>
      </c>
      <c r="D86" s="106">
        <v>113</v>
      </c>
      <c r="N86" s="100"/>
    </row>
    <row r="87" spans="1:14" x14ac:dyDescent="0.4">
      <c r="A87" s="98"/>
      <c r="C87" s="60" t="s">
        <v>414</v>
      </c>
      <c r="D87" s="106">
        <v>198</v>
      </c>
      <c r="N87" s="100"/>
    </row>
    <row r="88" spans="1:14" x14ac:dyDescent="0.4">
      <c r="A88" s="98"/>
      <c r="B88" t="s">
        <v>415</v>
      </c>
      <c r="N88" s="100"/>
    </row>
    <row r="89" spans="1:14" x14ac:dyDescent="0.4">
      <c r="A89" s="98"/>
      <c r="B89" t="s">
        <v>416</v>
      </c>
      <c r="N89" s="100"/>
    </row>
    <row r="90" spans="1:14" x14ac:dyDescent="0.4">
      <c r="A90" s="103" t="s">
        <v>417</v>
      </c>
      <c r="B90" t="s">
        <v>418</v>
      </c>
      <c r="N90" s="100"/>
    </row>
    <row r="91" spans="1:14" ht="19.5" thickBot="1" x14ac:dyDescent="0.45">
      <c r="A91" s="107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9"/>
    </row>
    <row r="92" spans="1:14" ht="24" x14ac:dyDescent="0.4">
      <c r="A92" s="95" t="s">
        <v>419</v>
      </c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7"/>
    </row>
    <row r="93" spans="1:14" ht="24" x14ac:dyDescent="0.4">
      <c r="A93" s="98"/>
      <c r="B93" s="99" t="s">
        <v>420</v>
      </c>
      <c r="N93" s="100"/>
    </row>
    <row r="94" spans="1:14" x14ac:dyDescent="0.4">
      <c r="A94" s="98"/>
      <c r="N94" s="100"/>
    </row>
    <row r="95" spans="1:14" x14ac:dyDescent="0.4">
      <c r="A95" s="103" t="s">
        <v>19</v>
      </c>
      <c r="B95" t="s">
        <v>421</v>
      </c>
      <c r="N95" s="100"/>
    </row>
    <row r="96" spans="1:14" x14ac:dyDescent="0.4">
      <c r="A96" s="98"/>
      <c r="B96" t="s">
        <v>422</v>
      </c>
      <c r="N96" s="100"/>
    </row>
    <row r="97" spans="1:14" x14ac:dyDescent="0.4">
      <c r="A97" s="98"/>
      <c r="B97" t="s">
        <v>423</v>
      </c>
      <c r="N97" s="100"/>
    </row>
    <row r="98" spans="1:14" x14ac:dyDescent="0.4">
      <c r="A98" s="98"/>
      <c r="B98" t="s">
        <v>424</v>
      </c>
      <c r="N98" s="100"/>
    </row>
    <row r="99" spans="1:14" x14ac:dyDescent="0.4">
      <c r="A99" s="98"/>
      <c r="B99" t="s">
        <v>425</v>
      </c>
      <c r="N99" s="100"/>
    </row>
    <row r="100" spans="1:14" x14ac:dyDescent="0.4">
      <c r="A100" s="98"/>
      <c r="N100" s="100"/>
    </row>
    <row r="101" spans="1:14" x14ac:dyDescent="0.4">
      <c r="A101" s="103" t="s">
        <v>20</v>
      </c>
      <c r="B101" t="s">
        <v>426</v>
      </c>
      <c r="N101" s="100"/>
    </row>
    <row r="102" spans="1:14" x14ac:dyDescent="0.4">
      <c r="A102" s="98"/>
      <c r="B102" t="s">
        <v>427</v>
      </c>
      <c r="N102" s="100"/>
    </row>
    <row r="103" spans="1:14" x14ac:dyDescent="0.4">
      <c r="A103" s="98"/>
      <c r="B103" t="s">
        <v>428</v>
      </c>
      <c r="N103" s="100"/>
    </row>
    <row r="104" spans="1:14" x14ac:dyDescent="0.4">
      <c r="A104" s="98"/>
      <c r="B104" t="s">
        <v>429</v>
      </c>
      <c r="N104" s="100"/>
    </row>
    <row r="105" spans="1:14" x14ac:dyDescent="0.4">
      <c r="A105" s="98"/>
      <c r="N105" s="100"/>
    </row>
    <row r="106" spans="1:14" x14ac:dyDescent="0.4">
      <c r="A106" s="103" t="s">
        <v>21</v>
      </c>
      <c r="B106" t="s">
        <v>430</v>
      </c>
      <c r="N106" s="100"/>
    </row>
    <row r="107" spans="1:14" x14ac:dyDescent="0.4">
      <c r="A107" s="98"/>
      <c r="B107" t="s">
        <v>431</v>
      </c>
      <c r="N107" s="100"/>
    </row>
    <row r="108" spans="1:14" x14ac:dyDescent="0.4">
      <c r="A108" s="98"/>
      <c r="B108" t="s">
        <v>432</v>
      </c>
      <c r="N108" s="100"/>
    </row>
    <row r="109" spans="1:14" x14ac:dyDescent="0.4">
      <c r="A109" s="98"/>
      <c r="N109" s="100"/>
    </row>
    <row r="110" spans="1:14" x14ac:dyDescent="0.4">
      <c r="A110" s="103" t="s">
        <v>22</v>
      </c>
      <c r="B110" t="s">
        <v>433</v>
      </c>
      <c r="N110" s="100"/>
    </row>
    <row r="111" spans="1:14" x14ac:dyDescent="0.4">
      <c r="A111" s="98"/>
      <c r="B111" t="s">
        <v>434</v>
      </c>
      <c r="N111" s="100"/>
    </row>
    <row r="112" spans="1:14" x14ac:dyDescent="0.4">
      <c r="A112" s="98"/>
      <c r="B112" t="s">
        <v>435</v>
      </c>
      <c r="N112" s="100"/>
    </row>
    <row r="113" spans="1:14" x14ac:dyDescent="0.4">
      <c r="A113" s="98"/>
      <c r="B113" t="s">
        <v>436</v>
      </c>
      <c r="N113" s="100"/>
    </row>
    <row r="114" spans="1:14" x14ac:dyDescent="0.4">
      <c r="A114" s="98"/>
      <c r="N114" s="100"/>
    </row>
    <row r="115" spans="1:14" x14ac:dyDescent="0.4">
      <c r="A115" s="103" t="s">
        <v>23</v>
      </c>
      <c r="B115" t="s">
        <v>437</v>
      </c>
      <c r="N115" s="100"/>
    </row>
    <row r="116" spans="1:14" x14ac:dyDescent="0.4">
      <c r="A116" s="98"/>
      <c r="B116" t="s">
        <v>434</v>
      </c>
      <c r="N116" s="100"/>
    </row>
    <row r="117" spans="1:14" x14ac:dyDescent="0.4">
      <c r="A117" s="98"/>
      <c r="B117" t="s">
        <v>438</v>
      </c>
      <c r="N117" s="100"/>
    </row>
    <row r="118" spans="1:14" x14ac:dyDescent="0.4">
      <c r="A118" s="98"/>
      <c r="B118" t="s">
        <v>439</v>
      </c>
      <c r="N118" s="100"/>
    </row>
    <row r="119" spans="1:14" x14ac:dyDescent="0.4">
      <c r="A119" s="98"/>
      <c r="N119" s="100"/>
    </row>
    <row r="120" spans="1:14" x14ac:dyDescent="0.4">
      <c r="A120" s="103" t="s">
        <v>24</v>
      </c>
      <c r="B120" t="s">
        <v>335</v>
      </c>
      <c r="N120" s="100"/>
    </row>
    <row r="121" spans="1:14" x14ac:dyDescent="0.4">
      <c r="A121" s="98"/>
      <c r="B121" t="s">
        <v>434</v>
      </c>
      <c r="N121" s="100"/>
    </row>
    <row r="122" spans="1:14" x14ac:dyDescent="0.4">
      <c r="A122" s="98"/>
      <c r="B122" t="s">
        <v>440</v>
      </c>
      <c r="N122" s="100"/>
    </row>
    <row r="123" spans="1:14" x14ac:dyDescent="0.4">
      <c r="A123" s="98"/>
      <c r="B123" t="s">
        <v>441</v>
      </c>
      <c r="N123" s="100"/>
    </row>
    <row r="124" spans="1:14" x14ac:dyDescent="0.4">
      <c r="A124" s="98"/>
      <c r="B124" t="s">
        <v>442</v>
      </c>
      <c r="N124" s="100"/>
    </row>
    <row r="125" spans="1:14" ht="19.5" thickBot="1" x14ac:dyDescent="0.45">
      <c r="A125" s="110" t="s">
        <v>25</v>
      </c>
      <c r="B125" s="108" t="s">
        <v>418</v>
      </c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9"/>
    </row>
    <row r="126" spans="1:14" ht="24" x14ac:dyDescent="0.4">
      <c r="A126" s="95" t="s">
        <v>443</v>
      </c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6"/>
      <c r="M126" s="96"/>
      <c r="N126" s="97"/>
    </row>
    <row r="127" spans="1:14" ht="24" x14ac:dyDescent="0.4">
      <c r="A127" s="98"/>
      <c r="B127" s="99" t="s">
        <v>444</v>
      </c>
      <c r="N127" s="100"/>
    </row>
    <row r="128" spans="1:14" x14ac:dyDescent="0.4">
      <c r="A128" s="98"/>
      <c r="N128" s="100"/>
    </row>
    <row r="129" spans="1:14" x14ac:dyDescent="0.4">
      <c r="A129" s="103" t="s">
        <v>19</v>
      </c>
      <c r="B129" t="s">
        <v>445</v>
      </c>
      <c r="N129" s="100"/>
    </row>
    <row r="130" spans="1:14" x14ac:dyDescent="0.4">
      <c r="A130" s="98"/>
      <c r="B130" t="s">
        <v>446</v>
      </c>
      <c r="N130" s="100"/>
    </row>
    <row r="131" spans="1:14" x14ac:dyDescent="0.4">
      <c r="A131" s="98"/>
      <c r="B131" t="s">
        <v>447</v>
      </c>
      <c r="N131" s="100"/>
    </row>
    <row r="132" spans="1:14" x14ac:dyDescent="0.4">
      <c r="A132" s="98"/>
      <c r="B132" t="s">
        <v>448</v>
      </c>
      <c r="N132" s="100"/>
    </row>
    <row r="133" spans="1:14" x14ac:dyDescent="0.4">
      <c r="A133" s="98"/>
      <c r="N133" s="100"/>
    </row>
    <row r="134" spans="1:14" x14ac:dyDescent="0.4">
      <c r="A134" s="103" t="s">
        <v>20</v>
      </c>
      <c r="B134" t="s">
        <v>426</v>
      </c>
      <c r="N134" s="100"/>
    </row>
    <row r="135" spans="1:14" x14ac:dyDescent="0.4">
      <c r="A135" s="98"/>
      <c r="B135" t="s">
        <v>427</v>
      </c>
      <c r="N135" s="100"/>
    </row>
    <row r="136" spans="1:14" x14ac:dyDescent="0.4">
      <c r="A136" s="98"/>
      <c r="B136" t="s">
        <v>428</v>
      </c>
      <c r="N136" s="100"/>
    </row>
    <row r="137" spans="1:14" x14ac:dyDescent="0.4">
      <c r="A137" s="98"/>
      <c r="B137" t="s">
        <v>449</v>
      </c>
      <c r="N137" s="100"/>
    </row>
    <row r="138" spans="1:14" x14ac:dyDescent="0.4">
      <c r="A138" s="98"/>
      <c r="N138" s="100"/>
    </row>
    <row r="139" spans="1:14" x14ac:dyDescent="0.4">
      <c r="A139" s="103" t="s">
        <v>21</v>
      </c>
      <c r="B139" t="s">
        <v>450</v>
      </c>
      <c r="N139" s="100"/>
    </row>
    <row r="140" spans="1:14" x14ac:dyDescent="0.4">
      <c r="A140" s="98"/>
      <c r="B140" t="s">
        <v>427</v>
      </c>
      <c r="N140" s="100"/>
    </row>
    <row r="141" spans="1:14" x14ac:dyDescent="0.4">
      <c r="A141" s="98"/>
      <c r="B141" t="s">
        <v>451</v>
      </c>
      <c r="N141" s="100"/>
    </row>
    <row r="142" spans="1:14" x14ac:dyDescent="0.4">
      <c r="A142" s="98"/>
      <c r="B142" t="s">
        <v>452</v>
      </c>
      <c r="N142" s="100"/>
    </row>
    <row r="143" spans="1:14" x14ac:dyDescent="0.4">
      <c r="A143" s="98"/>
      <c r="B143" t="s">
        <v>453</v>
      </c>
      <c r="N143" s="100"/>
    </row>
    <row r="144" spans="1:14" x14ac:dyDescent="0.4">
      <c r="A144" s="98"/>
      <c r="B144" t="s">
        <v>454</v>
      </c>
      <c r="N144" s="100"/>
    </row>
    <row r="145" spans="1:14" x14ac:dyDescent="0.4">
      <c r="A145" s="98"/>
      <c r="N145" s="100"/>
    </row>
    <row r="146" spans="1:14" x14ac:dyDescent="0.4">
      <c r="A146" s="103" t="s">
        <v>22</v>
      </c>
      <c r="B146" t="s">
        <v>455</v>
      </c>
      <c r="N146" s="100"/>
    </row>
    <row r="147" spans="1:14" x14ac:dyDescent="0.4">
      <c r="A147" s="98"/>
      <c r="B147" t="s">
        <v>434</v>
      </c>
      <c r="N147" s="100"/>
    </row>
    <row r="148" spans="1:14" x14ac:dyDescent="0.4">
      <c r="A148" s="98"/>
      <c r="B148" t="s">
        <v>456</v>
      </c>
      <c r="N148" s="100"/>
    </row>
    <row r="149" spans="1:14" x14ac:dyDescent="0.4">
      <c r="A149" s="98"/>
      <c r="B149" t="s">
        <v>457</v>
      </c>
      <c r="N149" s="100"/>
    </row>
    <row r="150" spans="1:14" x14ac:dyDescent="0.4">
      <c r="A150" s="98"/>
      <c r="B150" t="s">
        <v>458</v>
      </c>
      <c r="N150" s="100"/>
    </row>
    <row r="151" spans="1:14" x14ac:dyDescent="0.4">
      <c r="A151" s="98"/>
      <c r="B151" t="s">
        <v>459</v>
      </c>
      <c r="N151" s="100"/>
    </row>
    <row r="152" spans="1:14" x14ac:dyDescent="0.4">
      <c r="A152" s="98"/>
      <c r="N152" s="100"/>
    </row>
    <row r="153" spans="1:14" x14ac:dyDescent="0.4">
      <c r="A153" s="103" t="s">
        <v>23</v>
      </c>
      <c r="B153" t="s">
        <v>460</v>
      </c>
      <c r="N153" s="100"/>
    </row>
    <row r="154" spans="1:14" x14ac:dyDescent="0.4">
      <c r="A154" s="98"/>
      <c r="B154" t="s">
        <v>434</v>
      </c>
      <c r="N154" s="100"/>
    </row>
    <row r="155" spans="1:14" x14ac:dyDescent="0.4">
      <c r="A155" s="98"/>
      <c r="B155" t="s">
        <v>461</v>
      </c>
      <c r="N155" s="100"/>
    </row>
    <row r="156" spans="1:14" x14ac:dyDescent="0.4">
      <c r="A156" s="98"/>
      <c r="B156" t="s">
        <v>462</v>
      </c>
      <c r="N156" s="100"/>
    </row>
    <row r="157" spans="1:14" x14ac:dyDescent="0.4">
      <c r="A157" s="98"/>
      <c r="B157" t="s">
        <v>463</v>
      </c>
      <c r="N157" s="100"/>
    </row>
    <row r="158" spans="1:14" x14ac:dyDescent="0.4">
      <c r="A158" s="98"/>
      <c r="B158" t="s">
        <v>464</v>
      </c>
      <c r="N158" s="100"/>
    </row>
    <row r="159" spans="1:14" x14ac:dyDescent="0.4">
      <c r="A159" s="98"/>
      <c r="B159" t="s">
        <v>465</v>
      </c>
      <c r="N159" s="100"/>
    </row>
    <row r="160" spans="1:14" x14ac:dyDescent="0.4">
      <c r="A160" s="98"/>
      <c r="N160" s="100"/>
    </row>
    <row r="161" spans="1:14" x14ac:dyDescent="0.4">
      <c r="A161" s="103" t="s">
        <v>24</v>
      </c>
      <c r="B161" t="s">
        <v>338</v>
      </c>
      <c r="N161" s="100"/>
    </row>
    <row r="162" spans="1:14" x14ac:dyDescent="0.4">
      <c r="A162" s="98"/>
      <c r="B162" t="s">
        <v>434</v>
      </c>
      <c r="N162" s="100"/>
    </row>
    <row r="163" spans="1:14" x14ac:dyDescent="0.4">
      <c r="A163" s="98"/>
      <c r="B163" t="s">
        <v>466</v>
      </c>
      <c r="N163" s="100"/>
    </row>
    <row r="164" spans="1:14" x14ac:dyDescent="0.4">
      <c r="A164" s="98"/>
      <c r="B164" t="s">
        <v>467</v>
      </c>
      <c r="N164" s="100"/>
    </row>
    <row r="165" spans="1:14" x14ac:dyDescent="0.4">
      <c r="A165" s="98"/>
      <c r="B165" t="s">
        <v>468</v>
      </c>
      <c r="N165" s="100"/>
    </row>
    <row r="166" spans="1:14" x14ac:dyDescent="0.4">
      <c r="A166" s="98"/>
      <c r="B166" t="s">
        <v>469</v>
      </c>
      <c r="N166" s="100"/>
    </row>
    <row r="167" spans="1:14" x14ac:dyDescent="0.4">
      <c r="A167" s="98"/>
      <c r="B167" t="s">
        <v>470</v>
      </c>
      <c r="N167" s="100"/>
    </row>
    <row r="168" spans="1:14" x14ac:dyDescent="0.4">
      <c r="A168" s="98"/>
      <c r="B168" t="s">
        <v>471</v>
      </c>
      <c r="N168" s="100"/>
    </row>
    <row r="169" spans="1:14" x14ac:dyDescent="0.4">
      <c r="A169" s="98"/>
      <c r="N169" s="100"/>
    </row>
    <row r="170" spans="1:14" x14ac:dyDescent="0.4">
      <c r="A170" s="103" t="s">
        <v>25</v>
      </c>
      <c r="B170" t="s">
        <v>472</v>
      </c>
      <c r="N170" s="100"/>
    </row>
    <row r="171" spans="1:14" x14ac:dyDescent="0.4">
      <c r="A171" s="98"/>
      <c r="B171" t="s">
        <v>434</v>
      </c>
      <c r="N171" s="100"/>
    </row>
    <row r="172" spans="1:14" x14ac:dyDescent="0.4">
      <c r="A172" s="98"/>
      <c r="B172" t="s">
        <v>473</v>
      </c>
      <c r="N172" s="100"/>
    </row>
    <row r="173" spans="1:14" x14ac:dyDescent="0.4">
      <c r="A173" s="98"/>
      <c r="B173" t="s">
        <v>474</v>
      </c>
      <c r="N173" s="100"/>
    </row>
    <row r="174" spans="1:14" x14ac:dyDescent="0.4">
      <c r="A174" s="98"/>
      <c r="B174" t="s">
        <v>475</v>
      </c>
      <c r="N174" s="100"/>
    </row>
    <row r="175" spans="1:14" x14ac:dyDescent="0.4">
      <c r="A175" s="98"/>
      <c r="B175" t="s">
        <v>476</v>
      </c>
      <c r="N175" s="100"/>
    </row>
    <row r="176" spans="1:14" x14ac:dyDescent="0.4">
      <c r="A176" s="98"/>
      <c r="B176" t="s">
        <v>477</v>
      </c>
      <c r="N176" s="100"/>
    </row>
    <row r="177" spans="1:14" x14ac:dyDescent="0.4">
      <c r="A177" s="98"/>
      <c r="B177" t="s">
        <v>478</v>
      </c>
      <c r="N177" s="100"/>
    </row>
    <row r="178" spans="1:14" x14ac:dyDescent="0.4">
      <c r="A178" s="98"/>
      <c r="N178" s="100"/>
    </row>
    <row r="179" spans="1:14" x14ac:dyDescent="0.4">
      <c r="A179" s="103" t="s">
        <v>25</v>
      </c>
      <c r="B179" t="s">
        <v>418</v>
      </c>
      <c r="N179" s="100"/>
    </row>
    <row r="180" spans="1:14" ht="19.5" thickBot="1" x14ac:dyDescent="0.45">
      <c r="A180" s="107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9"/>
    </row>
    <row r="181" spans="1:14" ht="24" x14ac:dyDescent="0.4">
      <c r="A181" s="95" t="s">
        <v>479</v>
      </c>
      <c r="B181" s="96"/>
      <c r="C181" s="111"/>
      <c r="D181" s="111"/>
      <c r="E181" s="111"/>
      <c r="F181" s="111"/>
      <c r="G181" s="111"/>
      <c r="H181" s="96"/>
      <c r="I181" s="96"/>
      <c r="J181" s="96"/>
      <c r="K181" s="96"/>
      <c r="L181" s="96"/>
      <c r="M181" s="96"/>
      <c r="N181" s="97"/>
    </row>
    <row r="182" spans="1:14" x14ac:dyDescent="0.4">
      <c r="A182" s="98" t="s">
        <v>480</v>
      </c>
      <c r="N182" s="100"/>
    </row>
    <row r="183" spans="1:14" ht="24" x14ac:dyDescent="0.4">
      <c r="A183" s="98"/>
      <c r="B183" s="99" t="s">
        <v>481</v>
      </c>
      <c r="N183" s="100"/>
    </row>
    <row r="184" spans="1:14" x14ac:dyDescent="0.4">
      <c r="A184" s="98" t="s">
        <v>482</v>
      </c>
      <c r="N184" s="100"/>
    </row>
    <row r="185" spans="1:14" x14ac:dyDescent="0.4">
      <c r="A185" s="98"/>
      <c r="B185" t="s">
        <v>483</v>
      </c>
      <c r="N185" s="100"/>
    </row>
    <row r="186" spans="1:14" x14ac:dyDescent="0.4">
      <c r="A186" s="98" t="s">
        <v>484</v>
      </c>
      <c r="N186" s="100"/>
    </row>
    <row r="187" spans="1:14" ht="19.5" thickBot="1" x14ac:dyDescent="0.45">
      <c r="A187" s="107"/>
      <c r="B187" s="108" t="s">
        <v>485</v>
      </c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9"/>
    </row>
  </sheetData>
  <phoneticPr fontId="1"/>
  <pageMargins left="0.7" right="0.7" top="0.75" bottom="0.75" header="0.3" footer="0.3"/>
  <pageSetup paperSize="9" scale="63" fitToHeight="0" orientation="portrait" horizontalDpi="300" verticalDpi="300" r:id="rId1"/>
  <rowBreaks count="1" manualBreakCount="1">
    <brk id="125" max="1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Sheet1</vt:lpstr>
      <vt:lpstr>Sheet2</vt:lpstr>
      <vt:lpstr>Sheet2022</vt:lpstr>
      <vt:lpstr>Sheet3</vt:lpstr>
      <vt:lpstr>完成見本</vt:lpstr>
      <vt:lpstr>問題</vt:lpstr>
      <vt:lpstr>完成見本!Print_Area</vt:lpstr>
      <vt:lpstr>問題!Print_Area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植田吉祥</cp:lastModifiedBy>
  <dcterms:created xsi:type="dcterms:W3CDTF">2019-12-18T00:41:20Z</dcterms:created>
  <dcterms:modified xsi:type="dcterms:W3CDTF">2023-02-23T13:17:44Z</dcterms:modified>
</cp:coreProperties>
</file>